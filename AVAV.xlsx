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63175658b1e939/Documents/"/>
    </mc:Choice>
  </mc:AlternateContent>
  <xr:revisionPtr revIDLastSave="1730" documentId="13_ncr:1_{BF64205E-05BA-4CB7-91E4-86BCD392C6F3}" xr6:coauthVersionLast="47" xr6:coauthVersionMax="47" xr10:uidLastSave="{604F7403-717E-41E6-8AD2-274558042D43}"/>
  <bookViews>
    <workbookView xWindow="-108" yWindow="-108" windowWidth="23256" windowHeight="12456" tabRatio="998" activeTab="10" xr2:uid="{00000000-000D-0000-FFFF-FFFF00000000}"/>
  </bookViews>
  <sheets>
    <sheet name="AVAV-DCF" sheetId="1" r:id="rId1"/>
    <sheet name="A_D" sheetId="13" r:id="rId2"/>
    <sheet name="H1-Results" sheetId="11" r:id="rId3"/>
    <sheet name="D&amp;A Schedule" sheetId="10" r:id="rId4"/>
    <sheet name="Share Dilution Calc" sheetId="4" r:id="rId5"/>
    <sheet name="WACC" sheetId="6" r:id="rId6"/>
    <sheet name="Public Comps" sheetId="3" r:id="rId7"/>
    <sheet name="MA-Comps" sheetId="5" r:id="rId8"/>
    <sheet name="Synergy Calc" sheetId="12" r:id="rId9"/>
    <sheet name="ValSum" sheetId="8" r:id="rId10"/>
    <sheet name="ValGraph" sheetId="9" r:id="rId11"/>
    <sheet name="Inputs" sheetId="2" r:id="rId12"/>
  </sheets>
  <externalReferences>
    <externalReference r:id="rId13"/>
  </externalReferences>
  <definedNames>
    <definedName name="Acquirer_Name">'Synergy Calc'!$D$2</definedName>
    <definedName name="Basic_Shares">'Share Dilution Calc'!$H$7</definedName>
    <definedName name="Beta">WACC!$F$10</definedName>
    <definedName name="Company_Name">'AVAV-DCF'!$D$7</definedName>
    <definedName name="Comps_Range">'Share Dilution Calc'!$D$1:$H$33</definedName>
    <definedName name="Cost_of_Debt">WACC!$F$8</definedName>
    <definedName name="Cost_of_Preferred">WACC!$F$9</definedName>
    <definedName name="Equity_Risk_Premium">WACC!$F$7</definedName>
    <definedName name="Final_Discount_Rate">'AVAV-DCF'!#REF!</definedName>
    <definedName name="Forward_Year_1">Inputs!$E$7</definedName>
    <definedName name="Forward_Year_2">Inputs!$E$8</definedName>
    <definedName name="Forward_Year_3">Inputs!$E$9</definedName>
    <definedName name="FYear_1_Name" localSheetId="11">Inputs!$B$7</definedName>
    <definedName name="FYear_2_Name" localSheetId="11">Inputs!$B$8</definedName>
    <definedName name="FYear_3_Name" localSheetId="11">Inputs!$B$9</definedName>
    <definedName name="Hist_Year">'AVAV-DCF'!$K$7</definedName>
    <definedName name="Initial_Discount_Rate">'AVAV-DCF'!#REF!</definedName>
    <definedName name="JZP110_Risk_Adjustment_Factor">'AVAV-DCF'!#REF!</definedName>
    <definedName name="LTM">Inputs!$E$6</definedName>
    <definedName name="LTM_Name">Inputs!$B$6</definedName>
    <definedName name="Next_Year">'AVAV-DCF'!$K$8</definedName>
    <definedName name="Num_Years">'AVAV-DCF'!#REF!</definedName>
    <definedName name="_xlnm.Print_Area" localSheetId="0">'AVAV-DCF'!$A$1:$N$198</definedName>
    <definedName name="_xlnm.Print_Area" localSheetId="11">Inputs!$A$1:$N$10</definedName>
    <definedName name="_xlnm.Print_Area" localSheetId="7">'MA-Comps'!$A$1:$I$41</definedName>
    <definedName name="_xlnm.Print_Area" localSheetId="6">'Public Comps'!$A$1:$K$50</definedName>
    <definedName name="_xlnm.Print_Area" localSheetId="4">'Share Dilution Calc'!$A$1:$I$33</definedName>
    <definedName name="_xlnm.Print_Area" localSheetId="10">ValGraph!$A$1:$S$24</definedName>
    <definedName name="_xlnm.Print_Area" localSheetId="9">ValSum!$A$1:$N$21</definedName>
    <definedName name="_xlnm.Print_Area" localSheetId="5">WACC!$A$1:$M$46</definedName>
    <definedName name="Risk_Free_Rate">WACC!$F$6</definedName>
    <definedName name="Scenario">'AVAV-DCF'!$D$14</definedName>
    <definedName name="Share_Price">'AVAV-DCF'!$D$11</definedName>
    <definedName name="Stub_Period">'AVAV-DCF'!#REF!</definedName>
    <definedName name="Tax_Rate">'AVAV-DCF'!$D$12</definedName>
    <definedName name="Terminal_Growth_Rate">'AVAV-DCF'!$N$92</definedName>
    <definedName name="Terminal_Multiple">'AVAV-DCF'!$G$92</definedName>
    <definedName name="Ticker">'AVAV-DCF'!$D$8</definedName>
    <definedName name="Units">'AVAV-DCF'!$D$9</definedName>
    <definedName name="Valuation_Date">'AVAV-DCF'!$K$9</definedName>
    <definedName name="Vyxeos_Risk_Adjustment_Factor">'AVAV-DCF'!#REF!</definedName>
    <definedName name="WACC">WACC!$L$45</definedName>
    <definedName name="Year_Remaining_Pct">'AVAV-DCF'!#REF!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8" l="1"/>
  <c r="E31" i="8" s="1"/>
  <c r="E35" i="8" s="1"/>
  <c r="J24" i="8"/>
  <c r="I24" i="8"/>
  <c r="H49" i="3"/>
  <c r="G214" i="1" l="1"/>
  <c r="H214" i="1" s="1"/>
  <c r="I214" i="1" s="1"/>
  <c r="J214" i="1" s="1"/>
  <c r="K214" i="1" s="1"/>
  <c r="L214" i="1" s="1"/>
  <c r="M214" i="1" s="1"/>
  <c r="F214" i="1"/>
  <c r="M200" i="1"/>
  <c r="F200" i="1"/>
  <c r="G200" i="1" s="1"/>
  <c r="H200" i="1" s="1"/>
  <c r="I200" i="1" s="1"/>
  <c r="J200" i="1" s="1"/>
  <c r="K200" i="1" s="1"/>
  <c r="L200" i="1" s="1"/>
  <c r="D216" i="1"/>
  <c r="D217" i="1" s="1"/>
  <c r="D218" i="1" s="1"/>
  <c r="D219" i="1" s="1"/>
  <c r="D220" i="1" s="1"/>
  <c r="D221" i="1" s="1"/>
  <c r="D222" i="1" s="1"/>
  <c r="D223" i="1" s="1"/>
  <c r="D203" i="1"/>
  <c r="D204" i="1" s="1"/>
  <c r="D205" i="1" s="1"/>
  <c r="D206" i="1" s="1"/>
  <c r="D207" i="1" s="1"/>
  <c r="D208" i="1" s="1"/>
  <c r="D209" i="1" s="1"/>
  <c r="D202" i="1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D12" i="13"/>
  <c r="H5" i="13"/>
  <c r="E34" i="13"/>
  <c r="C20" i="13"/>
  <c r="H9" i="13"/>
  <c r="B20" i="8" l="1"/>
  <c r="H21" i="5"/>
  <c r="C21" i="13"/>
  <c r="D9" i="12" l="1"/>
  <c r="E42" i="12"/>
  <c r="E46" i="12" s="1"/>
  <c r="E31" i="12"/>
  <c r="M20" i="8"/>
  <c r="L20" i="8"/>
  <c r="K20" i="8"/>
  <c r="J20" i="8"/>
  <c r="I20" i="8"/>
  <c r="K95" i="1" l="1"/>
  <c r="K94" i="1"/>
  <c r="D95" i="1"/>
  <c r="D94" i="1"/>
  <c r="D93" i="1"/>
  <c r="N92" i="1" s="1"/>
  <c r="K93" i="1"/>
  <c r="G92" i="1" l="1"/>
  <c r="I85" i="1"/>
  <c r="H85" i="1"/>
  <c r="G85" i="1"/>
  <c r="F85" i="1"/>
  <c r="L37" i="6"/>
  <c r="L16" i="6"/>
  <c r="L25" i="6"/>
  <c r="L24" i="6"/>
  <c r="L23" i="6"/>
  <c r="L22" i="6"/>
  <c r="L21" i="6"/>
  <c r="L20" i="6"/>
  <c r="L19" i="6"/>
  <c r="L18" i="6"/>
  <c r="L17" i="6"/>
  <c r="K33" i="6"/>
  <c r="K32" i="6"/>
  <c r="D12" i="11"/>
  <c r="E32" i="6"/>
  <c r="I32" i="6"/>
  <c r="J33" i="6"/>
  <c r="K27" i="6"/>
  <c r="E27" i="6"/>
  <c r="F27" i="6"/>
  <c r="F33" i="6" s="1"/>
  <c r="G27" i="6"/>
  <c r="H27" i="6"/>
  <c r="H33" i="6" s="1"/>
  <c r="I27" i="6"/>
  <c r="J27" i="6"/>
  <c r="C25" i="6"/>
  <c r="C24" i="6"/>
  <c r="C23" i="6"/>
  <c r="C22" i="6"/>
  <c r="C21" i="6"/>
  <c r="C20" i="6"/>
  <c r="C19" i="6"/>
  <c r="C18" i="6"/>
  <c r="C17" i="6"/>
  <c r="C16" i="6"/>
  <c r="D27" i="6"/>
  <c r="B25" i="6"/>
  <c r="B24" i="6"/>
  <c r="B23" i="6"/>
  <c r="B22" i="6"/>
  <c r="B21" i="6"/>
  <c r="B20" i="6"/>
  <c r="B19" i="6"/>
  <c r="B18" i="6"/>
  <c r="B17" i="6"/>
  <c r="B16" i="6"/>
  <c r="N39" i="9"/>
  <c r="J34" i="9"/>
  <c r="K34" i="9"/>
  <c r="L34" i="9"/>
  <c r="M34" i="9"/>
  <c r="I34" i="9"/>
  <c r="N34" i="9" s="1"/>
  <c r="E24" i="5"/>
  <c r="B5" i="5"/>
  <c r="B3" i="5"/>
  <c r="I39" i="9"/>
  <c r="N111" i="1"/>
  <c r="N110" i="1"/>
  <c r="N109" i="1"/>
  <c r="N108" i="1"/>
  <c r="N107" i="1"/>
  <c r="N106" i="1"/>
  <c r="G106" i="1"/>
  <c r="E25" i="8" s="1"/>
  <c r="G107" i="1"/>
  <c r="E26" i="8" s="1"/>
  <c r="G108" i="1"/>
  <c r="E27" i="8" s="1"/>
  <c r="G109" i="1"/>
  <c r="E28" i="8" s="1"/>
  <c r="G110" i="1"/>
  <c r="E29" i="8" s="1"/>
  <c r="G111" i="1"/>
  <c r="E30" i="8" s="1"/>
  <c r="D42" i="8"/>
  <c r="M121" i="1"/>
  <c r="N121" i="1"/>
  <c r="E123" i="1"/>
  <c r="L123" i="1" s="1"/>
  <c r="F122" i="1"/>
  <c r="M122" i="1" s="1"/>
  <c r="E122" i="1"/>
  <c r="C41" i="8" s="1"/>
  <c r="F121" i="1"/>
  <c r="D40" i="8" s="1"/>
  <c r="F10" i="4"/>
  <c r="H10" i="4" s="1"/>
  <c r="G121" i="1" s="1"/>
  <c r="E40" i="8" s="1"/>
  <c r="H21" i="4"/>
  <c r="G122" i="1" s="1"/>
  <c r="E41" i="8" s="1"/>
  <c r="D33" i="3"/>
  <c r="D34" i="3"/>
  <c r="D35" i="3"/>
  <c r="D36" i="3"/>
  <c r="D37" i="3"/>
  <c r="D38" i="3"/>
  <c r="D39" i="3"/>
  <c r="D40" i="3"/>
  <c r="D41" i="3"/>
  <c r="D32" i="3"/>
  <c r="D24" i="3"/>
  <c r="D23" i="3"/>
  <c r="D22" i="3"/>
  <c r="D21" i="3"/>
  <c r="D20" i="3"/>
  <c r="B41" i="3"/>
  <c r="B40" i="3"/>
  <c r="B39" i="3"/>
  <c r="B38" i="3"/>
  <c r="B37" i="3"/>
  <c r="B36" i="3"/>
  <c r="B35" i="3"/>
  <c r="B34" i="3"/>
  <c r="B33" i="3"/>
  <c r="B32" i="3"/>
  <c r="F49" i="3"/>
  <c r="E49" i="3"/>
  <c r="H47" i="3"/>
  <c r="I26" i="3"/>
  <c r="G26" i="3"/>
  <c r="G49" i="3" s="1"/>
  <c r="P34" i="9" l="1"/>
  <c r="E121" i="1"/>
  <c r="C40" i="8" s="1"/>
  <c r="L121" i="1"/>
  <c r="I33" i="6"/>
  <c r="J32" i="6"/>
  <c r="Q34" i="9"/>
  <c r="R34" i="9"/>
  <c r="O34" i="9"/>
  <c r="L122" i="1"/>
  <c r="E33" i="6"/>
  <c r="G33" i="6"/>
  <c r="F32" i="6"/>
  <c r="H32" i="6"/>
  <c r="L27" i="6"/>
  <c r="E22" i="5"/>
  <c r="E23" i="5"/>
  <c r="E25" i="5"/>
  <c r="H23" i="5"/>
  <c r="H24" i="5"/>
  <c r="F23" i="5"/>
  <c r="F22" i="5"/>
  <c r="F25" i="5"/>
  <c r="H22" i="5"/>
  <c r="H25" i="5"/>
  <c r="E21" i="5"/>
  <c r="F21" i="5"/>
  <c r="F24" i="5"/>
  <c r="N122" i="1"/>
  <c r="D41" i="8"/>
  <c r="C42" i="8"/>
  <c r="L42" i="6" l="1"/>
  <c r="D33" i="6"/>
  <c r="L33" i="6" s="1"/>
  <c r="L36" i="6" s="1"/>
  <c r="L43" i="6" s="1"/>
  <c r="D32" i="6"/>
  <c r="L32" i="6" s="1"/>
  <c r="L35" i="6" s="1"/>
  <c r="L41" i="6" s="1"/>
  <c r="C16" i="8" a="1"/>
  <c r="I24" i="5"/>
  <c r="I21" i="5"/>
  <c r="I25" i="5"/>
  <c r="I22" i="5"/>
  <c r="I23" i="5"/>
  <c r="C17" i="8" l="1" a="1"/>
  <c r="L45" i="6"/>
  <c r="C16" i="8"/>
  <c r="C17" i="8" l="1"/>
  <c r="K182" i="1"/>
  <c r="M182" i="1"/>
  <c r="J182" i="1"/>
  <c r="L182" i="1"/>
  <c r="N182" i="1"/>
  <c r="B49" i="3" l="1"/>
  <c r="D47" i="3"/>
  <c r="D46" i="3"/>
  <c r="D45" i="3"/>
  <c r="D44" i="3"/>
  <c r="D43" i="3"/>
  <c r="B26" i="3"/>
  <c r="D20" i="11"/>
  <c r="D17" i="11"/>
  <c r="G12" i="11"/>
  <c r="D9" i="11"/>
  <c r="J146" i="1"/>
  <c r="D8" i="11"/>
  <c r="B3" i="11"/>
  <c r="D31" i="11"/>
  <c r="B2" i="11"/>
  <c r="J183" i="1"/>
  <c r="K185" i="1"/>
  <c r="K183" i="1" s="1"/>
  <c r="D14" i="11" l="1"/>
  <c r="L185" i="1"/>
  <c r="D21" i="11"/>
  <c r="D10" i="11"/>
  <c r="D35" i="11" l="1"/>
  <c r="M185" i="1"/>
  <c r="L183" i="1"/>
  <c r="J9" i="3"/>
  <c r="M183" i="1" l="1"/>
  <c r="N185" i="1"/>
  <c r="N183" i="1" s="1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I32" i="3"/>
  <c r="H32" i="3"/>
  <c r="G33" i="3"/>
  <c r="G34" i="3"/>
  <c r="G35" i="3"/>
  <c r="G36" i="3"/>
  <c r="G37" i="3"/>
  <c r="G38" i="3"/>
  <c r="G39" i="3"/>
  <c r="G40" i="3"/>
  <c r="G41" i="3"/>
  <c r="G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F32" i="3"/>
  <c r="E32" i="3"/>
  <c r="J20" i="3"/>
  <c r="J21" i="3"/>
  <c r="J22" i="3"/>
  <c r="J23" i="3"/>
  <c r="J24" i="3"/>
  <c r="I20" i="3"/>
  <c r="I21" i="3"/>
  <c r="I22" i="3"/>
  <c r="I23" i="3"/>
  <c r="I24" i="3"/>
  <c r="H20" i="3"/>
  <c r="H21" i="3"/>
  <c r="H22" i="3"/>
  <c r="H23" i="3"/>
  <c r="H24" i="3"/>
  <c r="F20" i="3"/>
  <c r="G20" i="3"/>
  <c r="F21" i="3"/>
  <c r="G21" i="3"/>
  <c r="F22" i="3"/>
  <c r="G22" i="3"/>
  <c r="F23" i="3"/>
  <c r="G23" i="3"/>
  <c r="F24" i="3"/>
  <c r="G24" i="3"/>
  <c r="E23" i="3"/>
  <c r="E22" i="3"/>
  <c r="E24" i="3"/>
  <c r="E21" i="3"/>
  <c r="E20" i="3"/>
  <c r="K172" i="1"/>
  <c r="L172" i="1"/>
  <c r="M172" i="1"/>
  <c r="N172" i="1"/>
  <c r="J172" i="1"/>
  <c r="L8" i="10"/>
  <c r="K8" i="10"/>
  <c r="J8" i="10"/>
  <c r="I8" i="10"/>
  <c r="H8" i="10"/>
  <c r="L10" i="10"/>
  <c r="K10" i="10"/>
  <c r="H10" i="10"/>
  <c r="I10" i="10"/>
  <c r="J10" i="10"/>
  <c r="G146" i="1"/>
  <c r="G157" i="1"/>
  <c r="H157" i="1"/>
  <c r="F157" i="1"/>
  <c r="D9" i="10"/>
  <c r="J133" i="1"/>
  <c r="K133" i="1"/>
  <c r="L133" i="1"/>
  <c r="M133" i="1"/>
  <c r="N133" i="1"/>
  <c r="F152" i="1"/>
  <c r="F81" i="1" s="1"/>
  <c r="G152" i="1"/>
  <c r="I152" i="1"/>
  <c r="H152" i="1"/>
  <c r="I170" i="1"/>
  <c r="I171" i="1" s="1"/>
  <c r="F171" i="1"/>
  <c r="H170" i="1"/>
  <c r="H171" i="1" s="1"/>
  <c r="G170" i="1"/>
  <c r="G171" i="1" s="1"/>
  <c r="F161" i="1"/>
  <c r="F143" i="1"/>
  <c r="I78" i="1"/>
  <c r="I71" i="1"/>
  <c r="F42" i="1"/>
  <c r="E42" i="1"/>
  <c r="F36" i="1"/>
  <c r="F131" i="1" s="1"/>
  <c r="E36" i="1"/>
  <c r="E28" i="1"/>
  <c r="F56" i="1"/>
  <c r="E56" i="1"/>
  <c r="K29" i="1"/>
  <c r="L29" i="1"/>
  <c r="M29" i="1"/>
  <c r="N29" i="1"/>
  <c r="F28" i="1"/>
  <c r="F50" i="1"/>
  <c r="F132" i="1" s="1"/>
  <c r="E50" i="1"/>
  <c r="F22" i="1"/>
  <c r="G23" i="1" s="1"/>
  <c r="E22" i="1"/>
  <c r="I146" i="1"/>
  <c r="I157" i="1" s="1"/>
  <c r="I137" i="1"/>
  <c r="I143" i="1"/>
  <c r="I73" i="1"/>
  <c r="H158" i="1"/>
  <c r="H161" i="1" s="1"/>
  <c r="I158" i="1"/>
  <c r="G158" i="1"/>
  <c r="K157" i="1"/>
  <c r="L157" i="1"/>
  <c r="M157" i="1"/>
  <c r="J157" i="1"/>
  <c r="K146" i="1"/>
  <c r="L146" i="1"/>
  <c r="M146" i="1"/>
  <c r="H143" i="1"/>
  <c r="G143" i="1"/>
  <c r="G130" i="1"/>
  <c r="H130" i="1"/>
  <c r="I130" i="1"/>
  <c r="G131" i="1"/>
  <c r="H131" i="1"/>
  <c r="I131" i="1"/>
  <c r="G132" i="1"/>
  <c r="H132" i="1"/>
  <c r="I132" i="1"/>
  <c r="G56" i="1"/>
  <c r="G57" i="1" s="1"/>
  <c r="H56" i="1"/>
  <c r="H57" i="1" s="1"/>
  <c r="I56" i="1"/>
  <c r="I57" i="1" s="1"/>
  <c r="I51" i="1"/>
  <c r="H51" i="1"/>
  <c r="G42" i="1"/>
  <c r="G43" i="1" s="1"/>
  <c r="H42" i="1"/>
  <c r="H43" i="1" s="1"/>
  <c r="I42" i="1"/>
  <c r="I43" i="1" s="1"/>
  <c r="I37" i="1"/>
  <c r="H37" i="1"/>
  <c r="H29" i="1"/>
  <c r="I29" i="1"/>
  <c r="G29" i="1"/>
  <c r="H23" i="1"/>
  <c r="I23" i="1"/>
  <c r="K57" i="1"/>
  <c r="L57" i="1"/>
  <c r="M57" i="1"/>
  <c r="N57" i="1"/>
  <c r="K51" i="1"/>
  <c r="L51" i="1"/>
  <c r="M51" i="1"/>
  <c r="N51" i="1"/>
  <c r="K43" i="1"/>
  <c r="L43" i="1"/>
  <c r="M43" i="1"/>
  <c r="N43" i="1"/>
  <c r="K37" i="1"/>
  <c r="L37" i="1"/>
  <c r="M37" i="1"/>
  <c r="N37" i="1"/>
  <c r="J57" i="1"/>
  <c r="J51" i="1"/>
  <c r="J50" i="1" s="1"/>
  <c r="J43" i="1"/>
  <c r="J37" i="1"/>
  <c r="J36" i="1" s="1"/>
  <c r="J29" i="1"/>
  <c r="K23" i="1"/>
  <c r="L23" i="1"/>
  <c r="M23" i="1"/>
  <c r="N23" i="1"/>
  <c r="J23" i="1"/>
  <c r="J22" i="1" s="1"/>
  <c r="D6" i="10"/>
  <c r="E6" i="10" s="1"/>
  <c r="C2" i="10"/>
  <c r="B8" i="10" s="1"/>
  <c r="G43" i="3" l="1"/>
  <c r="G45" i="3"/>
  <c r="E43" i="3"/>
  <c r="F43" i="3"/>
  <c r="H45" i="3"/>
  <c r="H43" i="3"/>
  <c r="E47" i="3"/>
  <c r="E45" i="3"/>
  <c r="F45" i="3"/>
  <c r="G47" i="3"/>
  <c r="F47" i="3"/>
  <c r="I44" i="3"/>
  <c r="H44" i="3"/>
  <c r="I46" i="3"/>
  <c r="G44" i="3"/>
  <c r="H46" i="3"/>
  <c r="F44" i="3"/>
  <c r="G46" i="3"/>
  <c r="E44" i="3"/>
  <c r="F46" i="3"/>
  <c r="I43" i="3"/>
  <c r="E46" i="3"/>
  <c r="I45" i="3"/>
  <c r="F174" i="1"/>
  <c r="G8" i="10"/>
  <c r="H6" i="10"/>
  <c r="F51" i="1"/>
  <c r="G51" i="1"/>
  <c r="I147" i="1"/>
  <c r="K36" i="1"/>
  <c r="K42" i="1" s="1"/>
  <c r="J130" i="1"/>
  <c r="K22" i="1"/>
  <c r="J28" i="1"/>
  <c r="J42" i="1"/>
  <c r="K50" i="1"/>
  <c r="K56" i="1" s="1"/>
  <c r="J132" i="1"/>
  <c r="J56" i="1"/>
  <c r="J131" i="1"/>
  <c r="E43" i="1"/>
  <c r="F23" i="1"/>
  <c r="G137" i="1"/>
  <c r="F37" i="1"/>
  <c r="H134" i="1"/>
  <c r="F130" i="1"/>
  <c r="F134" i="1" s="1"/>
  <c r="F172" i="1" s="1"/>
  <c r="F83" i="1" s="1"/>
  <c r="G161" i="1"/>
  <c r="F29" i="1"/>
  <c r="G37" i="1"/>
  <c r="G134" i="1"/>
  <c r="G78" i="1" s="1"/>
  <c r="E57" i="1"/>
  <c r="F137" i="1"/>
  <c r="E29" i="1"/>
  <c r="F57" i="1"/>
  <c r="I161" i="1"/>
  <c r="H137" i="1"/>
  <c r="F43" i="1"/>
  <c r="B10" i="10"/>
  <c r="I75" i="1"/>
  <c r="K117" i="1"/>
  <c r="K116" i="1"/>
  <c r="K114" i="1"/>
  <c r="K120" i="1"/>
  <c r="L120" i="1"/>
  <c r="M120" i="1"/>
  <c r="M119" i="1"/>
  <c r="K121" i="1"/>
  <c r="K122" i="1"/>
  <c r="K123" i="1"/>
  <c r="K124" i="1"/>
  <c r="K112" i="1"/>
  <c r="K104" i="1"/>
  <c r="K102" i="1"/>
  <c r="K101" i="1"/>
  <c r="K100" i="1"/>
  <c r="K97" i="1"/>
  <c r="C13" i="8" l="1" a="1"/>
  <c r="C12" i="8" a="1"/>
  <c r="I172" i="1"/>
  <c r="I83" i="1" s="1"/>
  <c r="H172" i="1"/>
  <c r="H83" i="1" s="1"/>
  <c r="G172" i="1"/>
  <c r="G83" i="1" s="1"/>
  <c r="J134" i="1"/>
  <c r="F175" i="1"/>
  <c r="D8" i="10"/>
  <c r="D10" i="10"/>
  <c r="G73" i="1"/>
  <c r="G144" i="1" s="1"/>
  <c r="G147" i="1" s="1"/>
  <c r="J137" i="1"/>
  <c r="K131" i="1"/>
  <c r="L36" i="1"/>
  <c r="L42" i="1" s="1"/>
  <c r="L22" i="1"/>
  <c r="K130" i="1"/>
  <c r="K132" i="1"/>
  <c r="L50" i="1"/>
  <c r="L56" i="1" s="1"/>
  <c r="K28" i="1"/>
  <c r="K137" i="1" s="1"/>
  <c r="H139" i="1"/>
  <c r="H140" i="1" s="1"/>
  <c r="F8" i="10"/>
  <c r="H78" i="1"/>
  <c r="H73" i="1"/>
  <c r="H144" i="1" s="1"/>
  <c r="H147" i="1" s="1"/>
  <c r="G71" i="1"/>
  <c r="H71" i="1"/>
  <c r="E8" i="10"/>
  <c r="I135" i="1"/>
  <c r="H135" i="1"/>
  <c r="G139" i="1"/>
  <c r="G140" i="1" s="1"/>
  <c r="F71" i="1"/>
  <c r="F78" i="1"/>
  <c r="F139" i="1"/>
  <c r="F140" i="1" s="1"/>
  <c r="F73" i="1"/>
  <c r="F144" i="1" s="1"/>
  <c r="F147" i="1" s="1"/>
  <c r="N146" i="1"/>
  <c r="N157" i="1"/>
  <c r="B2" i="8"/>
  <c r="E7" i="2"/>
  <c r="E8" i="2" s="1"/>
  <c r="E9" i="2" s="1"/>
  <c r="K8" i="1"/>
  <c r="K106" i="1"/>
  <c r="J139" i="1" l="1"/>
  <c r="J140" i="1" s="1"/>
  <c r="E58" i="12"/>
  <c r="J77" i="1"/>
  <c r="E17" i="12"/>
  <c r="J135" i="1"/>
  <c r="C12" i="8"/>
  <c r="C13" i="8"/>
  <c r="L132" i="1"/>
  <c r="J70" i="1"/>
  <c r="J143" i="1" s="1"/>
  <c r="J171" i="1"/>
  <c r="L131" i="1"/>
  <c r="H149" i="1"/>
  <c r="J144" i="1"/>
  <c r="E50" i="12" s="1"/>
  <c r="E54" i="12" s="1"/>
  <c r="H9" i="10"/>
  <c r="J174" i="1" s="1"/>
  <c r="J175" i="1" s="1"/>
  <c r="H7" i="10"/>
  <c r="M36" i="1"/>
  <c r="M42" i="1" s="1"/>
  <c r="M50" i="1"/>
  <c r="M56" i="1" s="1"/>
  <c r="L130" i="1"/>
  <c r="M22" i="1"/>
  <c r="L28" i="1"/>
  <c r="L137" i="1" s="1"/>
  <c r="K134" i="1"/>
  <c r="K171" i="1" s="1"/>
  <c r="F149" i="1"/>
  <c r="G149" i="1"/>
  <c r="B2" i="1"/>
  <c r="G80" i="1" l="1"/>
  <c r="G189" i="1"/>
  <c r="H80" i="1"/>
  <c r="H189" i="1"/>
  <c r="H190" i="1" s="1"/>
  <c r="F80" i="1"/>
  <c r="F189" i="1"/>
  <c r="E37" i="12"/>
  <c r="E22" i="12"/>
  <c r="E62" i="12"/>
  <c r="E71" i="12" s="1"/>
  <c r="H154" i="1"/>
  <c r="H192" i="1" s="1"/>
  <c r="H150" i="1"/>
  <c r="F150" i="1"/>
  <c r="L134" i="1"/>
  <c r="L135" i="1" s="1"/>
  <c r="H11" i="10"/>
  <c r="I6" i="10" s="1"/>
  <c r="I7" i="10" s="1"/>
  <c r="J145" i="1"/>
  <c r="J158" i="1" s="1"/>
  <c r="J161" i="1" s="1"/>
  <c r="N50" i="1"/>
  <c r="N132" i="1" s="1"/>
  <c r="K144" i="1"/>
  <c r="M132" i="1"/>
  <c r="M131" i="1"/>
  <c r="N36" i="1"/>
  <c r="N131" i="1" s="1"/>
  <c r="K139" i="1"/>
  <c r="K77" i="1"/>
  <c r="K70" i="1"/>
  <c r="K143" i="1" s="1"/>
  <c r="K135" i="1"/>
  <c r="M130" i="1"/>
  <c r="N22" i="1"/>
  <c r="M28" i="1"/>
  <c r="M137" i="1" s="1"/>
  <c r="F154" i="1"/>
  <c r="F192" i="1" s="1"/>
  <c r="G154" i="1"/>
  <c r="G192" i="1" s="1"/>
  <c r="G193" i="1" s="1"/>
  <c r="G150" i="1"/>
  <c r="H193" i="1" l="1"/>
  <c r="G190" i="1"/>
  <c r="E70" i="12"/>
  <c r="E78" i="12"/>
  <c r="M134" i="1"/>
  <c r="M70" i="1" s="1"/>
  <c r="M143" i="1" s="1"/>
  <c r="L139" i="1"/>
  <c r="L140" i="1" s="1"/>
  <c r="L144" i="1"/>
  <c r="L171" i="1"/>
  <c r="L70" i="1"/>
  <c r="L143" i="1" s="1"/>
  <c r="L77" i="1"/>
  <c r="J147" i="1"/>
  <c r="J149" i="1" s="1"/>
  <c r="I9" i="10"/>
  <c r="K174" i="1" s="1"/>
  <c r="K175" i="1" s="1"/>
  <c r="K145" i="1"/>
  <c r="K158" i="1" s="1"/>
  <c r="K161" i="1" s="1"/>
  <c r="N56" i="1"/>
  <c r="N42" i="1"/>
  <c r="K140" i="1"/>
  <c r="N130" i="1"/>
  <c r="N134" i="1" s="1"/>
  <c r="N28" i="1"/>
  <c r="H12" i="4"/>
  <c r="H2" i="4"/>
  <c r="H1" i="4"/>
  <c r="H25" i="4"/>
  <c r="G123" i="1" s="1"/>
  <c r="H4" i="4"/>
  <c r="E42" i="8" l="1"/>
  <c r="E43" i="8" s="1"/>
  <c r="N123" i="1"/>
  <c r="N124" i="1" s="1"/>
  <c r="G124" i="1"/>
  <c r="E77" i="12"/>
  <c r="E80" i="12" s="1"/>
  <c r="J154" i="1"/>
  <c r="J189" i="1"/>
  <c r="M139" i="1"/>
  <c r="M140" i="1" s="1"/>
  <c r="M171" i="1"/>
  <c r="M144" i="1"/>
  <c r="M77" i="1"/>
  <c r="M135" i="1"/>
  <c r="N144" i="1"/>
  <c r="N171" i="1"/>
  <c r="J150" i="1"/>
  <c r="I11" i="10"/>
  <c r="J6" i="10" s="1"/>
  <c r="J7" i="10" s="1"/>
  <c r="L145" i="1" s="1"/>
  <c r="K147" i="1"/>
  <c r="K149" i="1" s="1"/>
  <c r="N137" i="1"/>
  <c r="N139" i="1" s="1"/>
  <c r="N70" i="1"/>
  <c r="N143" i="1" s="1"/>
  <c r="N135" i="1"/>
  <c r="N77" i="1"/>
  <c r="H18" i="4"/>
  <c r="H22" i="4"/>
  <c r="H17" i="4"/>
  <c r="H11" i="4"/>
  <c r="H13" i="4"/>
  <c r="H16" i="4"/>
  <c r="H15" i="4"/>
  <c r="H14" i="4"/>
  <c r="G28" i="3"/>
  <c r="K154" i="1" l="1"/>
  <c r="K189" i="1"/>
  <c r="J177" i="1"/>
  <c r="J192" i="1"/>
  <c r="D17" i="13" s="1"/>
  <c r="D20" i="13" s="1"/>
  <c r="D21" i="13" s="1"/>
  <c r="E23" i="13" s="1"/>
  <c r="J9" i="10"/>
  <c r="L174" i="1" s="1"/>
  <c r="L175" i="1" s="1"/>
  <c r="K150" i="1"/>
  <c r="L158" i="1"/>
  <c r="L161" i="1" s="1"/>
  <c r="L147" i="1"/>
  <c r="L149" i="1" s="1"/>
  <c r="N140" i="1"/>
  <c r="H27" i="4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L189" i="1" l="1"/>
  <c r="L190" i="1" s="1"/>
  <c r="H31" i="4"/>
  <c r="N114" i="1"/>
  <c r="E33" i="8"/>
  <c r="G114" i="1"/>
  <c r="K177" i="1"/>
  <c r="K192" i="1"/>
  <c r="K193" i="1" s="1"/>
  <c r="K190" i="1"/>
  <c r="J178" i="1"/>
  <c r="J180" i="1" s="1"/>
  <c r="K187" i="1"/>
  <c r="J11" i="10"/>
  <c r="K6" i="10" s="1"/>
  <c r="K9" i="10" s="1"/>
  <c r="M174" i="1" s="1"/>
  <c r="M175" i="1" s="1"/>
  <c r="L154" i="1"/>
  <c r="L150" i="1"/>
  <c r="H32" i="4"/>
  <c r="L177" i="1" l="1"/>
  <c r="L178" i="1" s="1"/>
  <c r="L180" i="1" s="1"/>
  <c r="L192" i="1"/>
  <c r="L193" i="1" s="1"/>
  <c r="K178" i="1"/>
  <c r="K180" i="1" s="1"/>
  <c r="K7" i="10"/>
  <c r="M145" i="1" s="1"/>
  <c r="M158" i="1" s="1"/>
  <c r="M161" i="1" s="1"/>
  <c r="L187" i="1" l="1"/>
  <c r="K11" i="10"/>
  <c r="L6" i="10" s="1"/>
  <c r="L9" i="10" s="1"/>
  <c r="N174" i="1" s="1"/>
  <c r="N175" i="1" s="1"/>
  <c r="M147" i="1"/>
  <c r="M149" i="1" s="1"/>
  <c r="F177" i="1"/>
  <c r="M150" i="1" l="1"/>
  <c r="M189" i="1"/>
  <c r="M154" i="1"/>
  <c r="L7" i="10"/>
  <c r="N145" i="1" s="1"/>
  <c r="N158" i="1" s="1"/>
  <c r="N161" i="1" s="1"/>
  <c r="K111" i="1"/>
  <c r="K110" i="1"/>
  <c r="K109" i="1"/>
  <c r="K108" i="1"/>
  <c r="K107" i="1"/>
  <c r="M177" i="1" l="1"/>
  <c r="M192" i="1"/>
  <c r="M190" i="1"/>
  <c r="L11" i="10"/>
  <c r="N147" i="1"/>
  <c r="N149" i="1" s="1"/>
  <c r="B29" i="6"/>
  <c r="N154" i="1" l="1"/>
  <c r="N189" i="1"/>
  <c r="G97" i="1" s="1"/>
  <c r="G100" i="1" s="1"/>
  <c r="M193" i="1"/>
  <c r="M178" i="1"/>
  <c r="M180" i="1" s="1"/>
  <c r="M187" i="1"/>
  <c r="N150" i="1"/>
  <c r="N190" i="1" l="1"/>
  <c r="N177" i="1"/>
  <c r="N97" i="1" s="1"/>
  <c r="N192" i="1"/>
  <c r="N193" i="1" s="1"/>
  <c r="B17" i="8"/>
  <c r="B36" i="9" s="1"/>
  <c r="B16" i="8"/>
  <c r="B37" i="9" s="1"/>
  <c r="B13" i="8"/>
  <c r="B39" i="9" s="1"/>
  <c r="B12" i="8"/>
  <c r="B40" i="9" s="1"/>
  <c r="B5" i="8"/>
  <c r="N98" i="1" l="1"/>
  <c r="N100" i="1"/>
  <c r="N178" i="1"/>
  <c r="N180" i="1" s="1"/>
  <c r="N187" i="1"/>
  <c r="B34" i="9"/>
  <c r="N101" i="1" l="1"/>
  <c r="G101" i="1"/>
  <c r="G102" i="1" s="1"/>
  <c r="G112" i="1" s="1"/>
  <c r="G98" i="1"/>
  <c r="C33" i="6"/>
  <c r="C32" i="6"/>
  <c r="G104" i="1" l="1"/>
  <c r="N102" i="1"/>
  <c r="K12" i="6"/>
  <c r="I12" i="6"/>
  <c r="G12" i="6"/>
  <c r="E12" i="6"/>
  <c r="D12" i="6"/>
  <c r="B12" i="6"/>
  <c r="B3" i="6"/>
  <c r="B2" i="6"/>
  <c r="G116" i="1" l="1"/>
  <c r="D214" i="1" s="1"/>
  <c r="E36" i="8"/>
  <c r="N104" i="1"/>
  <c r="N112" i="1"/>
  <c r="N116" i="1" s="1"/>
  <c r="D200" i="1" s="1"/>
  <c r="I28" i="3"/>
  <c r="H28" i="3"/>
  <c r="F28" i="3"/>
  <c r="E28" i="3"/>
  <c r="D28" i="3"/>
  <c r="B28" i="3"/>
  <c r="I5" i="3"/>
  <c r="H5" i="3"/>
  <c r="G5" i="3"/>
  <c r="F5" i="3"/>
  <c r="E5" i="3"/>
  <c r="D5" i="3"/>
  <c r="B5" i="3"/>
  <c r="C49" i="3"/>
  <c r="I31" i="3"/>
  <c r="H31" i="3"/>
  <c r="G31" i="3"/>
  <c r="C26" i="3"/>
  <c r="J8" i="3"/>
  <c r="I8" i="3"/>
  <c r="H8" i="3"/>
  <c r="G8" i="3"/>
  <c r="G117" i="1" l="1"/>
  <c r="N117" i="1"/>
  <c r="D13" i="13"/>
  <c r="D16" i="13" l="1"/>
  <c r="D14" i="13"/>
  <c r="C9" i="13" l="1"/>
  <c r="E31" i="13" s="1"/>
  <c r="H22" i="13"/>
  <c r="E25" i="13" s="1"/>
  <c r="H14" i="13"/>
  <c r="E24" i="13" l="1"/>
  <c r="H17" i="13"/>
  <c r="H18" i="13" s="1"/>
  <c r="E26" i="13" s="1"/>
  <c r="J126" i="1" l="1"/>
  <c r="F126" i="1"/>
  <c r="D127" i="1" l="1"/>
  <c r="J67" i="1" l="1"/>
  <c r="F67" i="1"/>
  <c r="D68" i="1"/>
  <c r="I18" i="1" l="1"/>
  <c r="J18" i="1" l="1"/>
  <c r="K18" i="1" s="1"/>
  <c r="L18" i="1" s="1"/>
  <c r="M18" i="1" s="1"/>
  <c r="N18" i="1" s="1"/>
  <c r="H18" i="1"/>
  <c r="G18" i="1" s="1"/>
  <c r="F18" i="1" s="1"/>
  <c r="E18" i="1" s="1"/>
  <c r="I20" i="1"/>
  <c r="I34" i="1"/>
  <c r="I48" i="1"/>
  <c r="I62" i="1"/>
  <c r="I127" i="1"/>
  <c r="I68" i="1"/>
  <c r="E20" i="1" l="1"/>
  <c r="E34" i="1"/>
  <c r="E62" i="1"/>
  <c r="E48" i="1"/>
  <c r="J34" i="1"/>
  <c r="J48" i="1"/>
  <c r="J62" i="1"/>
  <c r="J20" i="1"/>
  <c r="H20" i="1"/>
  <c r="H34" i="1"/>
  <c r="H48" i="1"/>
  <c r="H62" i="1"/>
  <c r="J127" i="1"/>
  <c r="H127" i="1"/>
  <c r="J68" i="1"/>
  <c r="H68" i="1"/>
  <c r="G62" i="1" l="1"/>
  <c r="G20" i="1"/>
  <c r="G34" i="1"/>
  <c r="G48" i="1"/>
  <c r="K34" i="1"/>
  <c r="K48" i="1"/>
  <c r="K62" i="1"/>
  <c r="K20" i="1"/>
  <c r="K127" i="1"/>
  <c r="G127" i="1"/>
  <c r="K68" i="1"/>
  <c r="G68" i="1"/>
  <c r="F62" i="1" l="1"/>
  <c r="F20" i="1"/>
  <c r="F34" i="1"/>
  <c r="F48" i="1"/>
  <c r="L48" i="1"/>
  <c r="L62" i="1"/>
  <c r="L20" i="1"/>
  <c r="L34" i="1"/>
  <c r="F127" i="1"/>
  <c r="L127" i="1"/>
  <c r="L68" i="1"/>
  <c r="F68" i="1"/>
  <c r="M48" i="1" l="1"/>
  <c r="M62" i="1"/>
  <c r="M20" i="1"/>
  <c r="M34" i="1"/>
  <c r="M127" i="1"/>
  <c r="M68" i="1"/>
  <c r="N62" i="1" l="1"/>
  <c r="N20" i="1"/>
  <c r="N34" i="1"/>
  <c r="N48" i="1"/>
  <c r="N127" i="1"/>
  <c r="N68" i="1"/>
  <c r="I133" i="1" l="1"/>
  <c r="I139" i="1"/>
  <c r="H26" i="3" s="1"/>
  <c r="E73" i="12" s="1"/>
  <c r="E75" i="12" s="1"/>
  <c r="E81" i="12" l="1"/>
  <c r="E82" i="12" s="1"/>
  <c r="H20" i="13"/>
  <c r="E27" i="13" s="1"/>
  <c r="E28" i="13" s="1"/>
  <c r="E30" i="13" s="1"/>
  <c r="E33" i="13" s="1"/>
  <c r="H16" i="8" a="1"/>
  <c r="I27" i="8" s="1"/>
  <c r="H12" i="8" a="1"/>
  <c r="H12" i="8" s="1"/>
  <c r="J26" i="3"/>
  <c r="I149" i="1"/>
  <c r="I189" i="1" s="1"/>
  <c r="I140" i="1"/>
  <c r="I190" i="1" l="1"/>
  <c r="J190" i="1"/>
  <c r="E36" i="13"/>
  <c r="E35" i="13"/>
  <c r="C42" i="13" s="1"/>
  <c r="H16" i="8"/>
  <c r="J17" i="8"/>
  <c r="J36" i="9" s="1"/>
  <c r="I17" i="8"/>
  <c r="I36" i="9" s="1"/>
  <c r="N36" i="9" s="1"/>
  <c r="L17" i="8"/>
  <c r="L36" i="9" s="1"/>
  <c r="M17" i="8"/>
  <c r="M36" i="9" s="1"/>
  <c r="K17" i="8"/>
  <c r="K36" i="9" s="1"/>
  <c r="J27" i="8"/>
  <c r="L27" i="8"/>
  <c r="K27" i="8"/>
  <c r="M27" i="8"/>
  <c r="I25" i="8"/>
  <c r="L25" i="8"/>
  <c r="L13" i="8"/>
  <c r="L39" i="9" s="1"/>
  <c r="J25" i="8"/>
  <c r="K25" i="8"/>
  <c r="J13" i="8"/>
  <c r="J39" i="9" s="1"/>
  <c r="O39" i="9" s="1"/>
  <c r="K13" i="8"/>
  <c r="K39" i="9" s="1"/>
  <c r="M13" i="8"/>
  <c r="M39" i="9" s="1"/>
  <c r="M25" i="8"/>
  <c r="I150" i="1"/>
  <c r="I154" i="1"/>
  <c r="I192" i="1" s="1"/>
  <c r="I193" i="1" l="1"/>
  <c r="J193" i="1"/>
  <c r="R39" i="9"/>
  <c r="P39" i="9"/>
  <c r="Q36" i="9"/>
  <c r="O36" i="9"/>
  <c r="P36" i="9"/>
  <c r="R36" i="9"/>
  <c r="K16" i="8"/>
  <c r="K37" i="9" s="1"/>
  <c r="M16" i="8"/>
  <c r="M37" i="9" s="1"/>
  <c r="L16" i="8"/>
  <c r="L37" i="9" s="1"/>
  <c r="J16" i="8"/>
  <c r="J37" i="9" s="1"/>
  <c r="I16" i="8"/>
  <c r="I37" i="9" s="1"/>
  <c r="N37" i="9" s="1"/>
  <c r="K26" i="8"/>
  <c r="I26" i="8"/>
  <c r="L26" i="8"/>
  <c r="J26" i="8"/>
  <c r="M26" i="8"/>
  <c r="Q39" i="9"/>
  <c r="J12" i="8"/>
  <c r="J40" i="9" s="1"/>
  <c r="L12" i="8"/>
  <c r="L40" i="9" s="1"/>
  <c r="I12" i="8"/>
  <c r="I40" i="9" s="1"/>
  <c r="N40" i="9" s="1"/>
  <c r="L24" i="8"/>
  <c r="K24" i="8"/>
  <c r="K12" i="8"/>
  <c r="K40" i="9" s="1"/>
  <c r="M12" i="8"/>
  <c r="M40" i="9" s="1"/>
  <c r="M24" i="8"/>
  <c r="G6" i="10"/>
  <c r="G9" i="10" s="1"/>
  <c r="F6" i="10"/>
  <c r="F9" i="10" s="1"/>
  <c r="E9" i="10"/>
  <c r="E10" i="10" s="1"/>
  <c r="Q37" i="9" l="1"/>
  <c r="P40" i="9"/>
  <c r="R40" i="9"/>
  <c r="O37" i="9"/>
  <c r="R37" i="9"/>
  <c r="P37" i="9"/>
  <c r="O40" i="9"/>
  <c r="Q40" i="9"/>
  <c r="I174" i="1"/>
  <c r="G10" i="10"/>
  <c r="G174" i="1"/>
  <c r="G175" i="1" s="1"/>
  <c r="H174" i="1"/>
  <c r="F10" i="10"/>
  <c r="G177" i="1" l="1"/>
  <c r="G187" i="1" s="1"/>
  <c r="I175" i="1"/>
  <c r="I177" i="1"/>
  <c r="H175" i="1"/>
  <c r="H177" i="1"/>
  <c r="H187" i="1" l="1"/>
  <c r="I187" i="1"/>
  <c r="J187" i="1"/>
  <c r="G23" i="5" l="1"/>
  <c r="G24" i="5" l="1"/>
  <c r="G22" i="5"/>
  <c r="G25" i="5"/>
  <c r="G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tc={7DD404DE-35B9-41AC-965E-038AC93C5578}</author>
    <author>tc={A7673C48-C359-440A-9567-8A3D85339281}</author>
    <author>tc={7A7BA75D-962B-42D1-9AF4-CF86CF9F63FB}</author>
    <author>tc={784A8347-65F4-40F6-8DD5-37B6205D88FE}</author>
    <author>tc={ACD9F41A-C7AE-4F89-BBD3-86D1DE97C49E}</author>
    <author>tc={EAD809F7-71A1-43E8-A686-2974A1922B19}</author>
  </authors>
  <commentList>
    <comment ref="J75" authorId="0" shapeId="0" xr:uid="{7DD404DE-35B9-41AC-965E-038AC93C557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latest 10-Q filing</t>
      </text>
    </comment>
    <comment ref="I134" authorId="1" shapeId="0" xr:uid="{A7673C48-C359-440A-9567-8A3D853392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</t>
      </text>
    </comment>
    <comment ref="I137" authorId="2" shapeId="0" xr:uid="{7A7BA75D-962B-42D1-9AF4-CF86CF9F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statements, excluding amortisation</t>
      </text>
    </comment>
    <comment ref="I143" authorId="3" shapeId="0" xr:uid="{784A8347-65F4-40F6-8DD5-37B6205D88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statements, excluding pro-forma allocation of amortisation and transaction fees</t>
      </text>
    </comment>
    <comment ref="I144" authorId="4" shapeId="0" xr:uid="{ACD9F41A-C7AE-4F89-BBD3-86D1DE97C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</t>
      </text>
    </comment>
    <comment ref="I146" authorId="5" shapeId="0" xr:uid="{EAD809F7-71A1-43E8-A686-2974A1922B1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Inclusive of bluehalo merger integration and inventory fair value adjustment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<sst xmlns="http://schemas.openxmlformats.org/spreadsheetml/2006/main" count="660" uniqueCount="403">
  <si>
    <t>($ in Thousands Except Per Share and Per Unit Data)</t>
  </si>
  <si>
    <t>Assumptions:</t>
  </si>
  <si>
    <t>Base</t>
  </si>
  <si>
    <t>Upside</t>
  </si>
  <si>
    <t>Company Name:</t>
  </si>
  <si>
    <t xml:space="preserve">AeroVironment, Inc. </t>
  </si>
  <si>
    <t>Last Fiscal Year:</t>
  </si>
  <si>
    <t>Downside</t>
  </si>
  <si>
    <t>Ticker:</t>
  </si>
  <si>
    <t>AVAV</t>
  </si>
  <si>
    <t>Next Fiscal Year:</t>
  </si>
  <si>
    <t>Units (for Conversions):</t>
  </si>
  <si>
    <t>Current Valuation Date:</t>
  </si>
  <si>
    <t>Current Share Price:</t>
  </si>
  <si>
    <t>Effective Tax Rate:</t>
  </si>
  <si>
    <t>Selected Scenario:</t>
  </si>
  <si>
    <t>Historical</t>
  </si>
  <si>
    <t>Projected</t>
  </si>
  <si>
    <t>Revenue Assumptions:</t>
  </si>
  <si>
    <t>Units:</t>
  </si>
  <si>
    <t>LMS Assumptions:</t>
  </si>
  <si>
    <t>Revenue</t>
  </si>
  <si>
    <t>$ '000</t>
  </si>
  <si>
    <t>% growth</t>
  </si>
  <si>
    <t>%</t>
  </si>
  <si>
    <t>Cost of Sales</t>
  </si>
  <si>
    <t>% revenue</t>
  </si>
  <si>
    <t>UwS Assumptions:</t>
  </si>
  <si>
    <t>Growth</t>
  </si>
  <si>
    <t>MW Assumptions:</t>
  </si>
  <si>
    <t>BlueHalo Assumptions</t>
  </si>
  <si>
    <t>Intangible Asset Amortization:</t>
  </si>
  <si>
    <t>Expense and Cash Flow Assumptions:</t>
  </si>
  <si>
    <t>SG&amp;A</t>
  </si>
  <si>
    <t>% of revenue</t>
  </si>
  <si>
    <t>Research and Development % Revenue:</t>
  </si>
  <si>
    <t>Stock-Based Compensation:</t>
  </si>
  <si>
    <t>Total Non-Tax-Deductible Expenses:</t>
  </si>
  <si>
    <t>Cash Taxes Paid in Excess of Book Taxes:</t>
  </si>
  <si>
    <t>Change in WC % Change in Revenue:</t>
  </si>
  <si>
    <t>Interest Expense, Net:</t>
  </si>
  <si>
    <t>Discounted Cash Flow (DCF) Analysis - Assumptions and Output:</t>
  </si>
  <si>
    <t>Terminal Value - Multiples Method:</t>
  </si>
  <si>
    <t>Terminal Value - Perpetuity Growth Method:</t>
  </si>
  <si>
    <t>Baseline Terminal EBITDA Multiple:</t>
  </si>
  <si>
    <t>Baseline Terminal FCF Growth Rate:</t>
  </si>
  <si>
    <t>Baseline Terminal Value:</t>
  </si>
  <si>
    <t>Implied Terminal FCF Growth Rate:</t>
  </si>
  <si>
    <t>Implied Terminal EBITDA Multiple:</t>
  </si>
  <si>
    <t>(in millions)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</si>
  <si>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</si>
  <si>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</si>
  <si>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</si>
  <si>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</si>
  <si>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</si>
  <si>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</si>
  <si>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</si>
  <si>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(+) Net Operating Losses:</t>
  </si>
  <si>
    <t>(-) Total Debt &amp; Capital Leases:</t>
  </si>
  <si>
    <t>(-) Restructuring &amp; Other Liab.:</t>
  </si>
  <si>
    <t>Implied Equity Value:</t>
  </si>
  <si>
    <t>Diluted Shares Outstanding:</t>
  </si>
  <si>
    <t>Implied Share Price from DCF:</t>
  </si>
  <si>
    <t>Premium / (Discount) to Current:</t>
  </si>
  <si>
    <t>Exercise</t>
  </si>
  <si>
    <t>Type:</t>
  </si>
  <si>
    <t>Number:</t>
  </si>
  <si>
    <t>Price:</t>
  </si>
  <si>
    <t>Dilution:</t>
  </si>
  <si>
    <t>Options A:</t>
  </si>
  <si>
    <t>Convertible:</t>
  </si>
  <si>
    <t>RSUs:</t>
  </si>
  <si>
    <t>Total:</t>
  </si>
  <si>
    <t>Unlevered Free Cash Flow Projections:</t>
  </si>
  <si>
    <t>Revenue:</t>
  </si>
  <si>
    <t>Existing Divisions:</t>
  </si>
  <si>
    <t>(+) LMS Sales:</t>
  </si>
  <si>
    <t>(+) UwS Sales:</t>
  </si>
  <si>
    <t>(+) MW Sales:</t>
  </si>
  <si>
    <t>(+) BlueHalo Sales:</t>
  </si>
  <si>
    <t>Total Revenue:</t>
  </si>
  <si>
    <t>Revenue Growth:</t>
  </si>
  <si>
    <t>Cost of Product Sales:</t>
  </si>
  <si>
    <t>Gross Profit:</t>
  </si>
  <si>
    <t>Gross Margin:</t>
  </si>
  <si>
    <t>Operating Expenses:</t>
  </si>
  <si>
    <t>(+) Selling, General, and Administrative:</t>
  </si>
  <si>
    <t>(+) Research and Development:</t>
  </si>
  <si>
    <t>(+) Depreciation:</t>
  </si>
  <si>
    <t>(+) Intangible Asset Amortization:</t>
  </si>
  <si>
    <t>Total Operating Expenses:</t>
  </si>
  <si>
    <t>Operating Income (EBIT):</t>
  </si>
  <si>
    <t>Operating (EBIT) Margin:</t>
  </si>
  <si>
    <t>(-) Taxes, Excluding Effect of Interest:</t>
  </si>
  <si>
    <t>Net Operating Profit After Tax (NOPAT):</t>
  </si>
  <si>
    <t>Adjustments for Non-Cash Charges:</t>
  </si>
  <si>
    <t>(+/-) Deferred Income Taxes:</t>
  </si>
  <si>
    <t>(+/-) Other Items:</t>
  </si>
  <si>
    <t>Total Adjustments for Non-Cash Charges:</t>
  </si>
  <si>
    <t>Changes in Operating Assets &amp; Liabilities:</t>
  </si>
  <si>
    <t>Accounts Receivable:</t>
  </si>
  <si>
    <t>Inventories:</t>
  </si>
  <si>
    <t>Prepaid Expenses and Other Current Assets:</t>
  </si>
  <si>
    <t>Accounts Payable:</t>
  </si>
  <si>
    <t>Unbilled Receivables and Retentions:</t>
  </si>
  <si>
    <t>Income Taxes Receivable:</t>
  </si>
  <si>
    <t>Other Liabilities:</t>
  </si>
  <si>
    <t>Total Changes in Operating Assets &amp; Liabilities:</t>
  </si>
  <si>
    <t>% Change in Revenue:</t>
  </si>
  <si>
    <t>(-) Capital Expenditures:</t>
  </si>
  <si>
    <t>% Revenue:</t>
  </si>
  <si>
    <t>Annual Unlevered Free Cash Flow:</t>
  </si>
  <si>
    <t>Unlevered Free Cash Flow for Remainder:</t>
  </si>
  <si>
    <t>Present Value of Free Cash Flow:</t>
  </si>
  <si>
    <t>Discount Rate (WACC):</t>
  </si>
  <si>
    <t>Cumulative Discount Factor</t>
  </si>
  <si>
    <t>#</t>
  </si>
  <si>
    <t>Discount Period:</t>
  </si>
  <si>
    <t>Annual Free Cash Flow Growth Rate:</t>
  </si>
  <si>
    <t>Annual EBITDA:</t>
  </si>
  <si>
    <t>Annual EBITDA Growth Rate:</t>
  </si>
  <si>
    <t>Annual Net Income:</t>
  </si>
  <si>
    <t>Annual Net Income Growth Rate:</t>
  </si>
  <si>
    <t>Sensitivity Tables:</t>
  </si>
  <si>
    <t>Sensitivity - Terminal FCF Growth Rate vs. Discount Rate and Implied Share Price from DCF Analysis:</t>
  </si>
  <si>
    <t>Terminal FCF Growth Rate:</t>
  </si>
  <si>
    <t>Sensitivity - Terminal EBITDA Multiple vs. Discount Rate and Implied Share Price from DCF Analysis:</t>
  </si>
  <si>
    <t>Terminal EBITDA Multiple:</t>
  </si>
  <si>
    <t>Reported Income Statement and Cash Flow Statement Figures from H1:</t>
  </si>
  <si>
    <t>FY26 - H1</t>
  </si>
  <si>
    <t>Annual Revenue Growth Rate:</t>
  </si>
  <si>
    <t>Annual Operating Margin:</t>
  </si>
  <si>
    <t>Income Taxes receivable:</t>
  </si>
  <si>
    <t>Unbilled receivables and retentions:</t>
  </si>
  <si>
    <t>H1 Unlevered Free Cash Flow:</t>
  </si>
  <si>
    <t>(in thousands)</t>
  </si>
  <si>
    <t>PP&amp;E Schedule: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</si>
  <si>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</si>
  <si>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</si>
  <si>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</si>
  <si>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</si>
  <si>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</si>
  <si>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</si>
  <si>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</si>
  <si>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</si>
  <si>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</si>
  <si>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</si>
  <si>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Beginning PP&amp;E</t>
  </si>
  <si>
    <t>Depreciation</t>
  </si>
  <si>
    <t>Capex</t>
  </si>
  <si>
    <t>Ending Value (PPE)</t>
  </si>
  <si>
    <t>Discount Rate Calculations - Assumptions:</t>
  </si>
  <si>
    <t>Risk-Free Rate:</t>
  </si>
  <si>
    <t>Equity Risk Premium:</t>
  </si>
  <si>
    <t>Pre-Tax Cost of Debt:</t>
  </si>
  <si>
    <t>Cost of Preferred Stock:</t>
  </si>
  <si>
    <t>Historical Beta (2-year Levered Beta):</t>
  </si>
  <si>
    <t>Comparable Companies - Unlevered Beta Calculation:</t>
  </si>
  <si>
    <t>Levered</t>
  </si>
  <si>
    <t>Preferred</t>
  </si>
  <si>
    <t>Equity</t>
  </si>
  <si>
    <t>Effective
Tax Rate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</si>
  <si>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</si>
  <si>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</si>
  <si>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</si>
  <si>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</si>
  <si>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</si>
  <si>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</si>
  <si>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</si>
  <si>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</si>
  <si>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</si>
  <si>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</si>
  <si>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Median:</t>
  </si>
  <si>
    <t>Tax Rate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</si>
  <si>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</si>
  <si>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</si>
  <si>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</si>
  <si>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</si>
  <si>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Cost of Equity Based on Historical Beta:</t>
  </si>
  <si>
    <t>WACC = Cost of Equity * % Equity + Cost of Debt * % Debt * (1 - Tax Rate) + Cost of Preferred Stock * % Preferred Stock</t>
  </si>
  <si>
    <t>WACC, Current Capital Structure:</t>
  </si>
  <si>
    <t>WACC, Current Capital Structure and Historical Cost of Equity:</t>
  </si>
  <si>
    <t>WACC, "Optimal" Capital Structure:</t>
  </si>
  <si>
    <t>Average WACC Produced by All Methods:</t>
  </si>
  <si>
    <t>Min</t>
  </si>
  <si>
    <t>25th</t>
  </si>
  <si>
    <t>Median</t>
  </si>
  <si>
    <t>75th</t>
  </si>
  <si>
    <t>Max</t>
  </si>
  <si>
    <t>Min Point</t>
  </si>
  <si>
    <t>25th Point</t>
  </si>
  <si>
    <t>Median Point</t>
  </si>
  <si>
    <t>75th Point</t>
  </si>
  <si>
    <t>Max Point</t>
  </si>
  <si>
    <t>($ in Millions Except Per Share and Per Unit Data)</t>
  </si>
  <si>
    <t>Range of Valuation Multiples / Premiums</t>
  </si>
  <si>
    <t>Implied Per-Share Value Range</t>
  </si>
  <si>
    <t>Applicable</t>
  </si>
  <si>
    <t>Maximum</t>
  </si>
  <si>
    <t>Percentile</t>
  </si>
  <si>
    <t>Minimum</t>
  </si>
  <si>
    <t>Company</t>
  </si>
  <si>
    <t>Methodology Name</t>
  </si>
  <si>
    <t>Multiple</t>
  </si>
  <si>
    <t>Figure</t>
  </si>
  <si>
    <t>Public Company Comparables:</t>
  </si>
  <si>
    <t>Precedent Transactions:</t>
  </si>
  <si>
    <t>Discounted Cash Flow Analysis:</t>
  </si>
  <si>
    <t>Implied Equity Value Calculations:</t>
  </si>
  <si>
    <t>Implied Enterprise Value or Equity Value at a Range of Multiples:</t>
  </si>
  <si>
    <t>Enterprise Value --&gt;</t>
  </si>
  <si>
    <t>(-) Debt &amp; Capital Leases</t>
  </si>
  <si>
    <t>(-) Restructuring &amp; Other Liabilities:</t>
  </si>
  <si>
    <t>Implied Share Price from Selected Valuation Multiple:</t>
  </si>
  <si>
    <t>Convertible Bonds:</t>
  </si>
  <si>
    <t xml:space="preserve">Comparable Companies </t>
  </si>
  <si>
    <t>($ in millions Except Per Share and Per Unit Data)</t>
  </si>
  <si>
    <t>Operating Statistics</t>
  </si>
  <si>
    <t>Capitalization</t>
  </si>
  <si>
    <t>Share</t>
  </si>
  <si>
    <t>Enterprise</t>
  </si>
  <si>
    <t>EBITDA</t>
  </si>
  <si>
    <t>Reported Net Income</t>
  </si>
  <si>
    <t>EBITDA Margin</t>
  </si>
  <si>
    <t>Company Name</t>
  </si>
  <si>
    <t>Price</t>
  </si>
  <si>
    <t>Heico Corporation</t>
  </si>
  <si>
    <t>HEI</t>
  </si>
  <si>
    <t>Teledyne Technologies Inc.</t>
  </si>
  <si>
    <t>TDY</t>
  </si>
  <si>
    <t>Curtiss-Wright Corporation</t>
  </si>
  <si>
    <t>CW</t>
  </si>
  <si>
    <t>Textron Inc.</t>
  </si>
  <si>
    <t>TXT</t>
  </si>
  <si>
    <t>Kratos Defense &amp; Security Solutions, Inc.</t>
  </si>
  <si>
    <t>KTOS</t>
  </si>
  <si>
    <t>Huntington Ingalls Industries, Inc.</t>
  </si>
  <si>
    <t>HII</t>
  </si>
  <si>
    <t>Hexcel Corporation</t>
  </si>
  <si>
    <t>HXL</t>
  </si>
  <si>
    <t>Spirit Aerosystems Holdigns, Inc.</t>
  </si>
  <si>
    <t>SPR</t>
  </si>
  <si>
    <t>AAR Corporation</t>
  </si>
  <si>
    <t>AIR</t>
  </si>
  <si>
    <t>Astronics Corporation</t>
  </si>
  <si>
    <t>ATRO</t>
  </si>
  <si>
    <t>75th Percentile</t>
  </si>
  <si>
    <t>25th Percentile</t>
  </si>
  <si>
    <t>Valuation Statistics</t>
  </si>
  <si>
    <t>EV/EBITDA</t>
  </si>
  <si>
    <t>P / E Multiple</t>
  </si>
  <si>
    <t>Calendarization:</t>
  </si>
  <si>
    <t>Diluted Shares Calculations:</t>
  </si>
  <si>
    <t>Share Price as of the Valuation Date:</t>
  </si>
  <si>
    <t>Common Shares Outstanding:</t>
  </si>
  <si>
    <t>Options and Warrants:</t>
  </si>
  <si>
    <t>Total</t>
  </si>
  <si>
    <t>Strike</t>
  </si>
  <si>
    <t>Dilution</t>
  </si>
  <si>
    <t>$ Amount</t>
  </si>
  <si>
    <t>Par Value</t>
  </si>
  <si>
    <t>Conv. Price</t>
  </si>
  <si>
    <t># RSUs</t>
  </si>
  <si>
    <t>Restricted Stock Units (RSUs):</t>
  </si>
  <si>
    <t>Total Diluted Shares:</t>
  </si>
  <si>
    <t>Valuation Metrics:</t>
  </si>
  <si>
    <t>Equity Value:</t>
  </si>
  <si>
    <t>Enterprise Value:</t>
  </si>
  <si>
    <t>Beta:</t>
  </si>
  <si>
    <t>Precedent Transactions</t>
  </si>
  <si>
    <t>Operating Metrics</t>
  </si>
  <si>
    <t>Valuation Multiples</t>
  </si>
  <si>
    <t>Transaction</t>
  </si>
  <si>
    <t xml:space="preserve">EV / </t>
  </si>
  <si>
    <t>LTM</t>
  </si>
  <si>
    <t>Acquirer Name</t>
  </si>
  <si>
    <t>Target Name</t>
  </si>
  <si>
    <t>Date</t>
  </si>
  <si>
    <t xml:space="preserve">TJC L.P. </t>
  </si>
  <si>
    <t>L3Harris Commercial Aviation Solutions (CAS) business</t>
  </si>
  <si>
    <t>NA</t>
  </si>
  <si>
    <t>Arcline Investment</t>
  </si>
  <si>
    <t>Kaman Corporation</t>
  </si>
  <si>
    <t>Honeywell</t>
  </si>
  <si>
    <t>CAES Systems Holding LLC</t>
  </si>
  <si>
    <t>Cell Inputs and Lookup Cells for Use in Public Comps:</t>
  </si>
  <si>
    <t>Labels for Comparables:</t>
  </si>
  <si>
    <t>Last Twelve Months</t>
  </si>
  <si>
    <t>Forward Year 1</t>
  </si>
  <si>
    <t>Forward Year 2</t>
  </si>
  <si>
    <t>Forward Year 3</t>
  </si>
  <si>
    <t>Acquirer Name:</t>
  </si>
  <si>
    <t>Kratos Defense &amp; Security Solutions</t>
  </si>
  <si>
    <t>Acquirer Ticker:</t>
  </si>
  <si>
    <t>(in $ m)</t>
  </si>
  <si>
    <t>SG&amp;A:</t>
  </si>
  <si>
    <t>R&amp;D:</t>
  </si>
  <si>
    <t>Net Income:</t>
  </si>
  <si>
    <t>Revenue Synergies:</t>
  </si>
  <si>
    <t>Cross-Sell &amp; Market Share Synergies:</t>
  </si>
  <si>
    <t>AVAV FY26E Revenue:</t>
  </si>
  <si>
    <t>Cross-sell uplift to AVAV</t>
  </si>
  <si>
    <t>Cross-sell uplift to KTOS</t>
  </si>
  <si>
    <t>Total Uplift:</t>
  </si>
  <si>
    <t>Backlog Portfolio Synergies:</t>
  </si>
  <si>
    <t>AVAV backlog:</t>
  </si>
  <si>
    <t>KTOS backlog:</t>
  </si>
  <si>
    <t>Backlog conversion uplift:</t>
  </si>
  <si>
    <t>Backlog Conversion:</t>
  </si>
  <si>
    <t>New Integrated Offerings:</t>
  </si>
  <si>
    <t>Incremental Revenue:</t>
  </si>
  <si>
    <t>Incremental Revenue Uplift:</t>
  </si>
  <si>
    <t>Cost Synergies:</t>
  </si>
  <si>
    <t>SG&amp;A Consolidation:</t>
  </si>
  <si>
    <t>SG&amp;A elimination:</t>
  </si>
  <si>
    <t>AVAV SG&amp;A:</t>
  </si>
  <si>
    <t>R&amp;D Rationalisation:</t>
  </si>
  <si>
    <t>AVAV R&amp;D:</t>
  </si>
  <si>
    <t>SG&amp;A Savings:</t>
  </si>
  <si>
    <t>R&amp;D Reduction:</t>
  </si>
  <si>
    <t>R&amp;D Savings:</t>
  </si>
  <si>
    <t>Procurement &amp; Supply Chain:</t>
  </si>
  <si>
    <t>AVAV COGS:</t>
  </si>
  <si>
    <t>Procurement Savings:</t>
  </si>
  <si>
    <t>COGS:</t>
  </si>
  <si>
    <t>Procurement Cost Reduction:</t>
  </si>
  <si>
    <t>Manufacturing/Facilities Rationalisation:</t>
  </si>
  <si>
    <t>Duplication Reductions:</t>
  </si>
  <si>
    <t>Combined EBITDA Impact:</t>
  </si>
  <si>
    <t>Total Revenue Synergies:</t>
  </si>
  <si>
    <t>Total Cost Synergies:</t>
  </si>
  <si>
    <t>(gross margin %)</t>
  </si>
  <si>
    <t>Combined Pro-forma Revenue:</t>
  </si>
  <si>
    <t>Combined Pro-forma COGS:</t>
  </si>
  <si>
    <t>Combined Pro-forma Gross Profit:</t>
  </si>
  <si>
    <t>Blended EBITDA Margin:</t>
  </si>
  <si>
    <t>Combined Pro-forma EBITDA:</t>
  </si>
  <si>
    <t>Total EBITDA Impact:</t>
  </si>
  <si>
    <t>EBITDA Margin:</t>
  </si>
  <si>
    <t>Acquirer</t>
  </si>
  <si>
    <t>Target</t>
  </si>
  <si>
    <t>Pro</t>
  </si>
  <si>
    <t>Deal</t>
  </si>
  <si>
    <t>Forma (Year 1)</t>
  </si>
  <si>
    <t>Deal date:</t>
  </si>
  <si>
    <t>Current share price</t>
  </si>
  <si>
    <t>Diluted shares outstanding</t>
  </si>
  <si>
    <t>Form of consideration</t>
  </si>
  <si>
    <t>&lt;--Assume cash portion financed entirely by new acquirer debt for simplicity of this exercise.</t>
  </si>
  <si>
    <t>% Stock</t>
  </si>
  <si>
    <t>Acquirer shares issued in transaction</t>
  </si>
  <si>
    <t>% Cash</t>
  </si>
  <si>
    <t>Tax rate:</t>
  </si>
  <si>
    <t>Pre-deal share price</t>
  </si>
  <si>
    <t>Offer price per share</t>
  </si>
  <si>
    <t>Deal debt:</t>
  </si>
  <si>
    <t>% Offer Premium</t>
  </si>
  <si>
    <t xml:space="preserve">Acquirer new borrowing </t>
  </si>
  <si>
    <t>Shares outstanding</t>
  </si>
  <si>
    <t>Term of loan</t>
  </si>
  <si>
    <t>Offer value</t>
  </si>
  <si>
    <t>Interest rate on new debt</t>
  </si>
  <si>
    <t>Financing fees</t>
  </si>
  <si>
    <t>Annual financing fee amortization</t>
  </si>
  <si>
    <t>Accretion / dilution analysis</t>
  </si>
  <si>
    <t>Implied standalone net income</t>
  </si>
  <si>
    <t>Synergies:</t>
  </si>
  <si>
    <t>Implied standalone pretax income</t>
  </si>
  <si>
    <t>Pro forma pretax income - unadjusted</t>
  </si>
  <si>
    <t>Less: Interest expense from new deal debt</t>
  </si>
  <si>
    <t>Less: Deal fees</t>
  </si>
  <si>
    <t>Less: Financing fees amortization</t>
  </si>
  <si>
    <t>Plus: Synergies</t>
  </si>
  <si>
    <t>Pro forma pretax income - adjusted</t>
  </si>
  <si>
    <t>Deal fees:</t>
  </si>
  <si>
    <t xml:space="preserve">Pro Forma Net Income </t>
  </si>
  <si>
    <t>Pro Forma Shares Outstanding</t>
  </si>
  <si>
    <t>Pro Forma EPS</t>
  </si>
  <si>
    <t>Acquirer standalone EPS</t>
  </si>
  <si>
    <t>Accretion / Dilution per share</t>
  </si>
  <si>
    <t>Accretion / Dilution %</t>
  </si>
  <si>
    <t>Sensitivity analysis</t>
  </si>
  <si>
    <t>Accretion / dilution sensitivity at various % consideration and $ offer price per share assumptions</t>
  </si>
  <si>
    <t>% stock:</t>
  </si>
  <si>
    <t>Offer price:</t>
  </si>
  <si>
    <t>Acquirer:</t>
  </si>
  <si>
    <t>Target:</t>
  </si>
  <si>
    <t>2026 Earnings per share (EPS) forecast</t>
  </si>
  <si>
    <t>&lt;--Effective Tax Rate of KTOS</t>
  </si>
  <si>
    <t>&lt;--0.03% of the Loan Value</t>
  </si>
  <si>
    <t>&lt;--0.5% of the Transaction Value</t>
  </si>
  <si>
    <t>Boeing</t>
  </si>
  <si>
    <t>Spirit Aerosystems</t>
  </si>
  <si>
    <t>Aerovironment, Inc.</t>
  </si>
  <si>
    <t>Blue Halo</t>
  </si>
  <si>
    <t>TransDigm Group, Inc.</t>
  </si>
  <si>
    <t>Simmonds Precision Products</t>
  </si>
  <si>
    <t>CommScope (CCS Segment)</t>
  </si>
  <si>
    <t>Amphenol</t>
  </si>
  <si>
    <t>Coherent Corp (A&amp;D Segment)</t>
  </si>
  <si>
    <t>Advent International</t>
  </si>
  <si>
    <t>CommScope (OWN/DAS Segment)</t>
  </si>
  <si>
    <t xml:space="preserve">Initial Discount Rate (WACC)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</si>
</sst>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3" formatCode="_ * #,##0.00_ ;_ * \-#,##0.00_ ;_ * &quot;-&quot;??_ ;_ @_ 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&quot;FY&quot;yy"/>
    <numFmt numFmtId="170" formatCode="#,##0_);\(#,##0\);\-_);@_)"/>
    <numFmt numFmtId="171" formatCode="#,##0.0_);\(#,##0.0\);\-_);@_)"/>
    <numFmt numFmtId="172" formatCode="0.0%"/>
    <numFmt numFmtId="173" formatCode="0.0%;\(0.0%\)"/>
    <numFmt numFmtId="174" formatCode="_(&quot;$&quot;* #,##0.0_);_(&quot;$&quot;* \(#,##0.0\);_(&quot;$&quot;* &quot;-&quot;?_);_(@_)"/>
    <numFmt numFmtId="175" formatCode="_(* #,##0.0_);_(* \(#,##0.0\);_(* &quot;-&quot;?_);_(@_)"/>
    <numFmt numFmtId="176" formatCode="_(* #,##0.000_);_(* \(#,##0.000\);_(* &quot;-&quot;???_);_(@_)"/>
    <numFmt numFmtId="177" formatCode="0.00%;\(0.00%\)"/>
    <numFmt numFmtId="178" formatCode="0.0\ \x"/>
    <numFmt numFmtId="179" formatCode="_(* #,##0.0_);_(* \(#,##0.0\);_(* &quot;-&quot;??_);_(@_)"/>
    <numFmt numFmtId="180" formatCode="#,##0.000_);\(#,##0.000\);\-_);@_)"/>
    <numFmt numFmtId="181" formatCode="_(* #,##0.0000000_);_(* \(#,##0.0000000\);_(* &quot;-&quot;?_);_(@_)"/>
    <numFmt numFmtId="182" formatCode="_(#,##0_);\(#,##0\);_(&quot;–&quot;_);_(@_)"/>
    <numFmt numFmtId="183" formatCode="_(0.0%_);\(0.0%\);_(&quot;–&quot;_)_%;_(@_)_%"/>
    <numFmt numFmtId="184" formatCode="yyyy\-mm\-dd"/>
    <numFmt numFmtId="185" formatCode="_(&quot;$&quot;#,##0.00_)_%;\(&quot;$&quot;#,##0.00\)_%;_(&quot;–&quot;_)_%;_(@_)_%"/>
    <numFmt numFmtId="186" formatCode="#,##0.000"/>
    <numFmt numFmtId="187" formatCode="0.0\ \x;[Red]\ 0.0\ \x"/>
    <numFmt numFmtId="188" formatCode="m/d/yyyy;@"/>
    <numFmt numFmtId="189" formatCode="_(* #,##0_);[Red]_(* \(#,##0\);_(* &quot;-&quot;_);_(@_)"/>
    <numFmt numFmtId="190" formatCode="_(0.0\ \x_);\(0.0\ \x\);_(&quot;–&quot;_);_(@_)"/>
    <numFmt numFmtId="191" formatCode="0.000"/>
    <numFmt numFmtId="192" formatCode="_(0.00%_);\(0.00%\);_(&quot;–&quot;_)_%;_(@_)_%"/>
    <numFmt numFmtId="193" formatCode="_(#,##0.00_)_%;\(#,##0.00\)_%;_(&quot;–&quot;_)_%;_(@_)_%"/>
    <numFmt numFmtId="194" formatCode="_(#,##0.00_);\(#,##0.00\);_(&quot;–&quot;_);_(@_)"/>
    <numFmt numFmtId="195" formatCode="_(#,##0.00%_);\(#,##0.00%\);_(&quot;–&quot;_)_%;_(@_)_%"/>
    <numFmt numFmtId="196" formatCode="_(* #,##0.0_);_(* \(#,##0.0\);_(* &quot;-&quot;_);_(@_)"/>
    <numFmt numFmtId="197" formatCode="_(&quot;$&quot;* #,##0.0_);_(&quot;$&quot;* \(#,##0.0\);_(&quot;$&quot;* &quot;-&quot;_);_(@_)"/>
    <numFmt numFmtId="198" formatCode="0.00%;\(0.00%\);\-_)_%;@_)_%"/>
    <numFmt numFmtId="199" formatCode="_(* #,##0.0_);_(* \(#,##0.0\);_(* &quot;-&quot;?_);@_)"/>
    <numFmt numFmtId="200" formatCode="_(* #,##0_);_(* \(#,##0\);_(* &quot;-&quot;??_);_(@_)"/>
    <numFmt numFmtId="201" formatCode="0.0"/>
    <numFmt numFmtId="202" formatCode="_-[$$-409]* #,##0.00_ ;_-[$$-409]* \-#,##0.00\ ;_-[$$-409]* &quot;-&quot;??_ ;_-@_ "/>
    <numFmt numFmtId="203" formatCode="_([$$-409]* #,##0_);_([$$-409]* \(#,##0\);_([$$-409]* &quot;-&quot;??_);_(@_)"/>
    <numFmt numFmtId="204" formatCode="_ * #,##0.0_ ;_ * \-#,##0.0_ ;_ * &quot;-&quot;?_ ;_ @_ "/>
    <numFmt numFmtId="205" formatCode="_(&quot;$&quot;* #,##0_);_(&quot;$&quot;* \(#,##0\);_(&quot;$&quot;* &quot;-&quot;?_);_(@_)"/>
    <numFmt numFmtId="206" formatCode="_([$$-409]* #,##0.0_);_([$$-409]* \(#,##0.0\);_([$$-409]* &quot;-&quot;??_);_(@_)"/>
    <numFmt numFmtId="207" formatCode="_(&quot;$&quot;* #,##0.0_);_(&quot;$&quot;* \(#,##0.0\);_(&quot;$&quot;* &quot;-&quot;??_);_(@_)"/>
    <numFmt numFmtId="208" formatCode="_(* #,##0.0_);_(* \(#,##0.0\);_(* &quot;-&quot;???_);_(@_)"/>
    <numFmt numFmtId="209" formatCode="#,##0_);\(#,##0\);\-\-_);@_)"/>
    <numFmt numFmtId="210" formatCode="&quot;$&quot;#,##0.00_);\(&quot;$&quot;#,##0.00\);@_)"/>
    <numFmt numFmtId="211" formatCode="#,##0_);\(#,##0\);@_)"/>
    <numFmt numFmtId="212" formatCode="0.0%_);\(0.0%\);@_)"/>
    <numFmt numFmtId="213" formatCode="&quot;$&quot;#,##0_);\(&quot;$&quot;#,##0\);@_)"/>
    <numFmt numFmtId="214" formatCode="0\ &quot;years&quot;"/>
    <numFmt numFmtId="215" formatCode="#,##0.0_);\(#,##0.0\);@_)"/>
    <numFmt numFmtId="216" formatCode="0%_);\(0%\);@_)"/>
  </numFmts>
  <fonts count="83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12"/>
      <name val="Calibri"/>
      <family val="2"/>
    </font>
    <font>
      <i/>
      <sz val="12"/>
      <name val="Calibri"/>
      <family val="2"/>
      <scheme val="minor"/>
    </font>
    <font>
      <i/>
      <sz val="12"/>
      <name val="Calibri"/>
      <family val="2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sz val="12"/>
      <name val="Arial"/>
      <family val="2"/>
    </font>
    <font>
      <sz val="12"/>
      <color rgb="FF0070C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</font>
    <font>
      <b/>
      <sz val="14"/>
      <color rgb="FF002060"/>
      <name val="Arial"/>
      <family val="2"/>
    </font>
    <font>
      <sz val="14"/>
      <color theme="1"/>
      <name val="Arial"/>
      <family val="2"/>
    </font>
    <font>
      <i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Inter"/>
    </font>
    <font>
      <b/>
      <sz val="11"/>
      <color theme="1"/>
      <name val="Calibri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i/>
      <sz val="10"/>
      <color theme="0"/>
      <name val="Calibri"/>
      <family val="2"/>
    </font>
    <font>
      <b/>
      <i/>
      <sz val="10"/>
      <color theme="0"/>
      <name val="Calibri"/>
      <family val="2"/>
    </font>
    <font>
      <sz val="10"/>
      <color rgb="FF4F81BD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Dashed">
        <color rgb="FFFF0000"/>
      </left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14" fillId="2" borderId="3" applyNumberFormat="0" applyAlignment="0" applyProtection="0"/>
    <xf numFmtId="0" fontId="15" fillId="0" borderId="0"/>
    <xf numFmtId="0" fontId="12" fillId="0" borderId="0"/>
    <xf numFmtId="0" fontId="11" fillId="0" borderId="0"/>
    <xf numFmtId="0" fontId="16" fillId="0" borderId="0" applyAlignment="0"/>
    <xf numFmtId="0" fontId="10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</cellStyleXfs>
  <cellXfs count="595">
    <xf numFmtId="0" fontId="0" fillId="0" borderId="0" xfId="0"/>
    <xf numFmtId="0" fontId="13" fillId="0" borderId="0" xfId="0" applyFont="1"/>
    <xf numFmtId="0" fontId="17" fillId="0" borderId="0" xfId="0" applyFont="1"/>
    <xf numFmtId="0" fontId="17" fillId="0" borderId="0" xfId="11" applyFont="1"/>
    <xf numFmtId="0" fontId="20" fillId="0" borderId="0" xfId="0" applyFont="1"/>
    <xf numFmtId="0" fontId="6" fillId="0" borderId="0" xfId="0" applyFont="1"/>
    <xf numFmtId="0" fontId="22" fillId="0" borderId="0" xfId="0" applyFont="1"/>
    <xf numFmtId="0" fontId="23" fillId="3" borderId="2" xfId="0" applyFont="1" applyFill="1" applyBorder="1" applyAlignment="1">
      <alignment horizontal="left"/>
    </xf>
    <xf numFmtId="0" fontId="24" fillId="3" borderId="2" xfId="0" applyFont="1" applyFill="1" applyBorder="1" applyAlignment="1">
      <alignment horizontal="left"/>
    </xf>
    <xf numFmtId="49" fontId="25" fillId="2" borderId="3" xfId="1" applyNumberFormat="1" applyFont="1" applyAlignment="1">
      <alignment horizontal="left"/>
    </xf>
    <xf numFmtId="173" fontId="26" fillId="2" borderId="3" xfId="1" applyNumberFormat="1" applyFont="1" applyAlignment="1">
      <alignment horizontal="center"/>
    </xf>
    <xf numFmtId="177" fontId="26" fillId="0" borderId="0" xfId="1" applyNumberFormat="1" applyFont="1" applyFill="1" applyBorder="1" applyAlignment="1"/>
    <xf numFmtId="37" fontId="25" fillId="2" borderId="3" xfId="1" applyNumberFormat="1" applyFont="1" applyAlignment="1">
      <alignment horizontal="center"/>
    </xf>
    <xf numFmtId="178" fontId="27" fillId="0" borderId="0" xfId="2" applyNumberFormat="1" applyFont="1"/>
    <xf numFmtId="175" fontId="25" fillId="0" borderId="0" xfId="0" applyNumberFormat="1" applyFont="1"/>
    <xf numFmtId="184" fontId="25" fillId="2" borderId="3" xfId="0" applyNumberFormat="1" applyFont="1" applyFill="1" applyBorder="1" applyAlignment="1">
      <alignment horizontal="center"/>
    </xf>
    <xf numFmtId="178" fontId="26" fillId="0" borderId="0" xfId="2" applyNumberFormat="1" applyFont="1"/>
    <xf numFmtId="184" fontId="28" fillId="2" borderId="3" xfId="0" applyNumberFormat="1" applyFont="1" applyFill="1" applyBorder="1" applyAlignment="1">
      <alignment horizontal="center"/>
    </xf>
    <xf numFmtId="167" fontId="25" fillId="2" borderId="3" xfId="1" applyNumberFormat="1" applyFont="1"/>
    <xf numFmtId="173" fontId="22" fillId="0" borderId="0" xfId="0" applyNumberFormat="1" applyFont="1"/>
    <xf numFmtId="0" fontId="21" fillId="11" borderId="0" xfId="0" applyFont="1" applyFill="1"/>
    <xf numFmtId="0" fontId="29" fillId="11" borderId="0" xfId="0" applyFont="1" applyFill="1"/>
    <xf numFmtId="0" fontId="18" fillId="11" borderId="19" xfId="0" applyFont="1" applyFill="1" applyBorder="1" applyAlignment="1">
      <alignment horizontal="centerContinuous"/>
    </xf>
    <xf numFmtId="0" fontId="29" fillId="11" borderId="19" xfId="0" applyFont="1" applyFill="1" applyBorder="1" applyAlignment="1">
      <alignment horizontal="centerContinuous"/>
    </xf>
    <xf numFmtId="0" fontId="18" fillId="11" borderId="21" xfId="0" applyFont="1" applyFill="1" applyBorder="1" applyAlignment="1">
      <alignment horizontal="centerContinuous"/>
    </xf>
    <xf numFmtId="0" fontId="18" fillId="11" borderId="2" xfId="0" applyFont="1" applyFill="1" applyBorder="1"/>
    <xf numFmtId="169" fontId="18" fillId="11" borderId="2" xfId="0" applyNumberFormat="1" applyFont="1" applyFill="1" applyBorder="1" applyAlignment="1">
      <alignment horizontal="center"/>
    </xf>
    <xf numFmtId="169" fontId="18" fillId="11" borderId="20" xfId="0" applyNumberFormat="1" applyFont="1" applyFill="1" applyBorder="1" applyAlignment="1">
      <alignment horizontal="center"/>
    </xf>
    <xf numFmtId="0" fontId="20" fillId="12" borderId="2" xfId="0" applyFont="1" applyFill="1" applyBorder="1"/>
    <xf numFmtId="169" fontId="31" fillId="12" borderId="2" xfId="0" applyNumberFormat="1" applyFont="1" applyFill="1" applyBorder="1" applyAlignment="1">
      <alignment horizontal="center"/>
    </xf>
    <xf numFmtId="169" fontId="31" fillId="12" borderId="12" xfId="0" applyNumberFormat="1" applyFont="1" applyFill="1" applyBorder="1" applyAlignment="1">
      <alignment horizontal="center"/>
    </xf>
    <xf numFmtId="182" fontId="25" fillId="0" borderId="0" xfId="0" applyNumberFormat="1" applyFont="1"/>
    <xf numFmtId="9" fontId="25" fillId="0" borderId="0" xfId="0" applyNumberFormat="1" applyFont="1"/>
    <xf numFmtId="165" fontId="33" fillId="0" borderId="0" xfId="0" applyNumberFormat="1" applyFont="1"/>
    <xf numFmtId="173" fontId="34" fillId="0" borderId="0" xfId="1" applyNumberFormat="1" applyFont="1" applyFill="1" applyBorder="1" applyAlignment="1"/>
    <xf numFmtId="175" fontId="28" fillId="0" borderId="0" xfId="0" applyNumberFormat="1" applyFont="1"/>
    <xf numFmtId="173" fontId="35" fillId="0" borderId="0" xfId="0" applyNumberFormat="1" applyFont="1"/>
    <xf numFmtId="173" fontId="36" fillId="0" borderId="0" xfId="1" applyNumberFormat="1" applyFont="1" applyFill="1" applyBorder="1" applyAlignment="1"/>
    <xf numFmtId="169" fontId="20" fillId="0" borderId="0" xfId="0" applyNumberFormat="1" applyFont="1" applyAlignment="1">
      <alignment horizontal="center"/>
    </xf>
    <xf numFmtId="0" fontId="25" fillId="0" borderId="0" xfId="0" applyFont="1"/>
    <xf numFmtId="0" fontId="33" fillId="0" borderId="0" xfId="0" applyFont="1"/>
    <xf numFmtId="179" fontId="25" fillId="2" borderId="7" xfId="0" applyNumberFormat="1" applyFont="1" applyFill="1" applyBorder="1"/>
    <xf numFmtId="175" fontId="26" fillId="0" borderId="0" xfId="1" applyNumberFormat="1" applyFont="1" applyFill="1" applyBorder="1" applyAlignment="1"/>
    <xf numFmtId="175" fontId="27" fillId="0" borderId="0" xfId="1" applyNumberFormat="1" applyFont="1" applyFill="1" applyBorder="1" applyAlignment="1"/>
    <xf numFmtId="170" fontId="25" fillId="0" borderId="0" xfId="0" applyNumberFormat="1" applyFont="1"/>
    <xf numFmtId="175" fontId="38" fillId="0" borderId="1" xfId="0" applyNumberFormat="1" applyFont="1" applyBorder="1"/>
    <xf numFmtId="181" fontId="37" fillId="0" borderId="0" xfId="0" applyNumberFormat="1" applyFont="1"/>
    <xf numFmtId="174" fontId="37" fillId="0" borderId="0" xfId="0" applyNumberFormat="1" applyFont="1"/>
    <xf numFmtId="171" fontId="20" fillId="0" borderId="0" xfId="0" applyNumberFormat="1" applyFont="1"/>
    <xf numFmtId="183" fontId="20" fillId="0" borderId="0" xfId="0" applyNumberFormat="1" applyFont="1"/>
    <xf numFmtId="180" fontId="20" fillId="0" borderId="0" xfId="0" applyNumberFormat="1" applyFont="1"/>
    <xf numFmtId="175" fontId="20" fillId="0" borderId="0" xfId="0" applyNumberFormat="1" applyFont="1"/>
    <xf numFmtId="179" fontId="25" fillId="0" borderId="0" xfId="0" applyNumberFormat="1" applyFont="1"/>
    <xf numFmtId="179" fontId="28" fillId="0" borderId="0" xfId="0" applyNumberFormat="1" applyFont="1"/>
    <xf numFmtId="175" fontId="20" fillId="0" borderId="1" xfId="0" applyNumberFormat="1" applyFont="1" applyBorder="1"/>
    <xf numFmtId="172" fontId="22" fillId="0" borderId="0" xfId="0" applyNumberFormat="1" applyFont="1"/>
    <xf numFmtId="175" fontId="38" fillId="0" borderId="0" xfId="0" applyNumberFormat="1" applyFont="1"/>
    <xf numFmtId="0" fontId="30" fillId="11" borderId="2" xfId="0" applyFont="1" applyFill="1" applyBorder="1"/>
    <xf numFmtId="0" fontId="29" fillId="11" borderId="2" xfId="0" applyFont="1" applyFill="1" applyBorder="1"/>
    <xf numFmtId="0" fontId="21" fillId="11" borderId="2" xfId="0" applyFont="1" applyFill="1" applyBorder="1"/>
    <xf numFmtId="0" fontId="28" fillId="0" borderId="0" xfId="2" applyFont="1"/>
    <xf numFmtId="190" fontId="25" fillId="2" borderId="7" xfId="0" applyNumberFormat="1" applyFont="1" applyFill="1" applyBorder="1" applyAlignment="1">
      <alignment horizontal="center"/>
    </xf>
    <xf numFmtId="173" fontId="28" fillId="0" borderId="0" xfId="2" applyNumberFormat="1" applyFont="1" applyAlignment="1">
      <alignment horizontal="center"/>
    </xf>
    <xf numFmtId="0" fontId="28" fillId="0" borderId="0" xfId="2" applyFont="1" applyAlignment="1">
      <alignment horizontal="left" indent="1"/>
    </xf>
    <xf numFmtId="0" fontId="28" fillId="0" borderId="2" xfId="2" applyFont="1" applyBorder="1"/>
    <xf numFmtId="0" fontId="31" fillId="0" borderId="0" xfId="2" applyFont="1"/>
    <xf numFmtId="174" fontId="20" fillId="0" borderId="0" xfId="0" applyNumberFormat="1" applyFont="1"/>
    <xf numFmtId="173" fontId="35" fillId="0" borderId="0" xfId="2" applyNumberFormat="1" applyFont="1"/>
    <xf numFmtId="175" fontId="39" fillId="0" borderId="0" xfId="0" applyNumberFormat="1" applyFont="1"/>
    <xf numFmtId="0" fontId="31" fillId="0" borderId="1" xfId="2" applyFont="1" applyBorder="1" applyAlignment="1">
      <alignment horizontal="left"/>
    </xf>
    <xf numFmtId="0" fontId="28" fillId="0" borderId="1" xfId="2" applyFont="1" applyBorder="1"/>
    <xf numFmtId="175" fontId="31" fillId="0" borderId="1" xfId="2" applyNumberFormat="1" applyFont="1" applyBorder="1"/>
    <xf numFmtId="175" fontId="31" fillId="0" borderId="0" xfId="2" applyNumberFormat="1" applyFont="1"/>
    <xf numFmtId="0" fontId="31" fillId="9" borderId="8" xfId="2" applyFont="1" applyFill="1" applyBorder="1"/>
    <xf numFmtId="0" fontId="28" fillId="9" borderId="1" xfId="2" applyFont="1" applyFill="1" applyBorder="1"/>
    <xf numFmtId="167" fontId="31" fillId="9" borderId="9" xfId="2" applyNumberFormat="1" applyFont="1" applyFill="1" applyBorder="1"/>
    <xf numFmtId="0" fontId="31" fillId="9" borderId="6" xfId="2" applyFont="1" applyFill="1" applyBorder="1"/>
    <xf numFmtId="0" fontId="28" fillId="9" borderId="2" xfId="2" applyFont="1" applyFill="1" applyBorder="1"/>
    <xf numFmtId="173" fontId="31" fillId="9" borderId="12" xfId="2" applyNumberFormat="1" applyFont="1" applyFill="1" applyBorder="1"/>
    <xf numFmtId="0" fontId="20" fillId="12" borderId="0" xfId="0" applyFont="1" applyFill="1" applyAlignment="1">
      <alignment horizontal="center"/>
    </xf>
    <xf numFmtId="0" fontId="20" fillId="12" borderId="2" xfId="0" applyFont="1" applyFill="1" applyBorder="1" applyAlignment="1">
      <alignment horizontal="center"/>
    </xf>
    <xf numFmtId="186" fontId="39" fillId="0" borderId="1" xfId="0" applyNumberFormat="1" applyFont="1" applyBorder="1"/>
    <xf numFmtId="186" fontId="39" fillId="0" borderId="0" xfId="0" applyNumberFormat="1" applyFont="1"/>
    <xf numFmtId="186" fontId="28" fillId="0" borderId="0" xfId="0" applyNumberFormat="1" applyFont="1"/>
    <xf numFmtId="0" fontId="31" fillId="0" borderId="1" xfId="2" applyFont="1" applyBorder="1"/>
    <xf numFmtId="186" fontId="20" fillId="0" borderId="1" xfId="0" applyNumberFormat="1" applyFont="1" applyBorder="1"/>
    <xf numFmtId="0" fontId="22" fillId="0" borderId="1" xfId="0" applyFont="1" applyBorder="1"/>
    <xf numFmtId="0" fontId="40" fillId="0" borderId="0" xfId="0" applyFont="1"/>
    <xf numFmtId="0" fontId="42" fillId="0" borderId="0" xfId="0" applyFont="1"/>
    <xf numFmtId="175" fontId="33" fillId="0" borderId="0" xfId="0" applyNumberFormat="1" applyFont="1"/>
    <xf numFmtId="175" fontId="38" fillId="8" borderId="0" xfId="0" applyNumberFormat="1" applyFont="1" applyFill="1"/>
    <xf numFmtId="191" fontId="27" fillId="0" borderId="0" xfId="0" applyNumberFormat="1" applyFont="1"/>
    <xf numFmtId="191" fontId="42" fillId="0" borderId="0" xfId="0" applyNumberFormat="1" applyFont="1"/>
    <xf numFmtId="175" fontId="20" fillId="9" borderId="0" xfId="0" applyNumberFormat="1" applyFont="1" applyFill="1"/>
    <xf numFmtId="0" fontId="21" fillId="3" borderId="8" xfId="0" applyFont="1" applyFill="1" applyBorder="1"/>
    <xf numFmtId="0" fontId="21" fillId="3" borderId="5" xfId="0" applyFont="1" applyFill="1" applyBorder="1"/>
    <xf numFmtId="0" fontId="18" fillId="3" borderId="5" xfId="0" applyFont="1" applyFill="1" applyBorder="1" applyAlignment="1">
      <alignment horizontal="centerContinuous"/>
    </xf>
    <xf numFmtId="0" fontId="18" fillId="3" borderId="14" xfId="0" applyFont="1" applyFill="1" applyBorder="1" applyAlignment="1">
      <alignment horizontal="centerContinuous"/>
    </xf>
    <xf numFmtId="0" fontId="21" fillId="3" borderId="10" xfId="0" applyFont="1" applyFill="1" applyBorder="1"/>
    <xf numFmtId="167" fontId="42" fillId="0" borderId="8" xfId="0" applyNumberFormat="1" applyFont="1" applyBorder="1"/>
    <xf numFmtId="167" fontId="42" fillId="0" borderId="1" xfId="0" applyNumberFormat="1" applyFont="1" applyBorder="1"/>
    <xf numFmtId="168" fontId="42" fillId="0" borderId="10" xfId="0" applyNumberFormat="1" applyFont="1" applyBorder="1"/>
    <xf numFmtId="168" fontId="42" fillId="0" borderId="0" xfId="0" applyNumberFormat="1" applyFont="1"/>
    <xf numFmtId="190" fontId="18" fillId="10" borderId="0" xfId="0" applyNumberFormat="1" applyFont="1" applyFill="1" applyAlignment="1">
      <alignment horizontal="center"/>
    </xf>
    <xf numFmtId="0" fontId="44" fillId="3" borderId="2" xfId="0" applyFont="1" applyFill="1" applyBorder="1"/>
    <xf numFmtId="0" fontId="45" fillId="3" borderId="2" xfId="0" applyFont="1" applyFill="1" applyBorder="1"/>
    <xf numFmtId="0" fontId="45" fillId="0" borderId="0" xfId="0" applyFont="1"/>
    <xf numFmtId="192" fontId="25" fillId="2" borderId="7" xfId="0" applyNumberFormat="1" applyFont="1" applyFill="1" applyBorder="1" applyAlignment="1">
      <alignment horizontal="center"/>
    </xf>
    <xf numFmtId="192" fontId="26" fillId="0" borderId="0" xfId="0" applyNumberFormat="1" applyFont="1"/>
    <xf numFmtId="0" fontId="46" fillId="0" borderId="0" xfId="0" applyFont="1"/>
    <xf numFmtId="1" fontId="47" fillId="0" borderId="0" xfId="0" applyNumberFormat="1" applyFont="1"/>
    <xf numFmtId="0" fontId="47" fillId="0" borderId="0" xfId="0" applyFont="1"/>
    <xf numFmtId="0" fontId="23" fillId="3" borderId="0" xfId="2" applyFont="1" applyFill="1"/>
    <xf numFmtId="0" fontId="23" fillId="3" borderId="0" xfId="2" applyFont="1" applyFill="1" applyAlignment="1">
      <alignment horizontal="center"/>
    </xf>
    <xf numFmtId="0" fontId="23" fillId="3" borderId="2" xfId="2" applyFont="1" applyFill="1" applyBorder="1"/>
    <xf numFmtId="194" fontId="42" fillId="0" borderId="0" xfId="0" applyNumberFormat="1" applyFont="1"/>
    <xf numFmtId="0" fontId="31" fillId="4" borderId="13" xfId="2" applyFont="1" applyFill="1" applyBorder="1" applyAlignment="1">
      <alignment horizontal="left"/>
    </xf>
    <xf numFmtId="0" fontId="31" fillId="4" borderId="5" xfId="2" applyFont="1" applyFill="1" applyBorder="1"/>
    <xf numFmtId="193" fontId="31" fillId="4" borderId="5" xfId="2" applyNumberFormat="1" applyFont="1" applyFill="1" applyBorder="1"/>
    <xf numFmtId="0" fontId="18" fillId="5" borderId="13" xfId="2" applyFont="1" applyFill="1" applyBorder="1"/>
    <xf numFmtId="0" fontId="18" fillId="5" borderId="5" xfId="2" applyFont="1" applyFill="1" applyBorder="1"/>
    <xf numFmtId="193" fontId="28" fillId="0" borderId="1" xfId="2" applyNumberFormat="1" applyFont="1" applyBorder="1"/>
    <xf numFmtId="174" fontId="28" fillId="0" borderId="1" xfId="2" applyNumberFormat="1" applyFont="1" applyBorder="1"/>
    <xf numFmtId="183" fontId="28" fillId="0" borderId="1" xfId="2" applyNumberFormat="1" applyFont="1" applyBorder="1"/>
    <xf numFmtId="172" fontId="28" fillId="0" borderId="1" xfId="2" applyNumberFormat="1" applyFont="1" applyBorder="1"/>
    <xf numFmtId="168" fontId="28" fillId="0" borderId="1" xfId="2" applyNumberFormat="1" applyFont="1" applyBorder="1"/>
    <xf numFmtId="193" fontId="28" fillId="0" borderId="0" xfId="2" applyNumberFormat="1" applyFont="1"/>
    <xf numFmtId="175" fontId="28" fillId="0" borderId="0" xfId="2" applyNumberFormat="1" applyFont="1"/>
    <xf numFmtId="183" fontId="28" fillId="0" borderId="0" xfId="2" applyNumberFormat="1" applyFont="1"/>
    <xf numFmtId="172" fontId="28" fillId="0" borderId="0" xfId="2" applyNumberFormat="1" applyFont="1"/>
    <xf numFmtId="0" fontId="18" fillId="5" borderId="8" xfId="2" applyFont="1" applyFill="1" applyBorder="1"/>
    <xf numFmtId="0" fontId="18" fillId="5" borderId="1" xfId="2" applyFont="1" applyFill="1" applyBorder="1"/>
    <xf numFmtId="0" fontId="18" fillId="5" borderId="10" xfId="2" applyFont="1" applyFill="1" applyBorder="1"/>
    <xf numFmtId="0" fontId="18" fillId="5" borderId="0" xfId="2" applyFont="1" applyFill="1"/>
    <xf numFmtId="0" fontId="18" fillId="5" borderId="6" xfId="2" applyFont="1" applyFill="1" applyBorder="1"/>
    <xf numFmtId="0" fontId="18" fillId="5" borderId="2" xfId="2" applyFont="1" applyFill="1" applyBorder="1"/>
    <xf numFmtId="192" fontId="18" fillId="5" borderId="9" xfId="2" applyNumberFormat="1" applyFont="1" applyFill="1" applyBorder="1"/>
    <xf numFmtId="192" fontId="18" fillId="5" borderId="11" xfId="2" applyNumberFormat="1" applyFont="1" applyFill="1" applyBorder="1"/>
    <xf numFmtId="192" fontId="18" fillId="5" borderId="12" xfId="2" applyNumberFormat="1" applyFont="1" applyFill="1" applyBorder="1"/>
    <xf numFmtId="192" fontId="18" fillId="5" borderId="14" xfId="2" applyNumberFormat="1" applyFont="1" applyFill="1" applyBorder="1"/>
    <xf numFmtId="1" fontId="28" fillId="0" borderId="0" xfId="2" applyNumberFormat="1" applyFont="1"/>
    <xf numFmtId="0" fontId="24" fillId="3" borderId="0" xfId="2" applyFont="1" applyFill="1" applyAlignment="1">
      <alignment horizontal="centerContinuous"/>
    </xf>
    <xf numFmtId="0" fontId="48" fillId="3" borderId="0" xfId="2" applyFont="1" applyFill="1" applyAlignment="1">
      <alignment horizontal="centerContinuous"/>
    </xf>
    <xf numFmtId="0" fontId="49" fillId="3" borderId="0" xfId="2" applyFont="1" applyFill="1"/>
    <xf numFmtId="14" fontId="23" fillId="3" borderId="2" xfId="2" applyNumberFormat="1" applyFont="1" applyFill="1" applyBorder="1" applyAlignment="1">
      <alignment horizontal="center"/>
    </xf>
    <xf numFmtId="167" fontId="28" fillId="0" borderId="0" xfId="2" applyNumberFormat="1" applyFont="1"/>
    <xf numFmtId="167" fontId="18" fillId="5" borderId="5" xfId="2" applyNumberFormat="1" applyFont="1" applyFill="1" applyBorder="1"/>
    <xf numFmtId="173" fontId="18" fillId="5" borderId="5" xfId="2" applyNumberFormat="1" applyFont="1" applyFill="1" applyBorder="1"/>
    <xf numFmtId="0" fontId="28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178" fontId="28" fillId="0" borderId="0" xfId="2" applyNumberFormat="1" applyFont="1"/>
    <xf numFmtId="178" fontId="18" fillId="5" borderId="5" xfId="2" applyNumberFormat="1" applyFont="1" applyFill="1" applyBorder="1"/>
    <xf numFmtId="185" fontId="28" fillId="0" borderId="0" xfId="2" applyNumberFormat="1" applyFont="1"/>
    <xf numFmtId="9" fontId="28" fillId="0" borderId="0" xfId="2" applyNumberFormat="1" applyFont="1"/>
    <xf numFmtId="0" fontId="50" fillId="0" borderId="0" xfId="2" applyFont="1"/>
    <xf numFmtId="0" fontId="23" fillId="3" borderId="0" xfId="2" applyFont="1" applyFill="1" applyAlignment="1">
      <alignment horizontal="centerContinuous"/>
    </xf>
    <xf numFmtId="0" fontId="33" fillId="0" borderId="0" xfId="5" applyFont="1" applyAlignment="1">
      <alignment horizontal="left" vertical="top" wrapText="1"/>
    </xf>
    <xf numFmtId="184" fontId="32" fillId="0" borderId="0" xfId="5" applyNumberFormat="1" applyFont="1" applyAlignment="1">
      <alignment horizontal="left" vertical="top"/>
    </xf>
    <xf numFmtId="188" fontId="28" fillId="0" borderId="0" xfId="2" applyNumberFormat="1" applyFont="1" applyAlignment="1">
      <alignment horizontal="right"/>
    </xf>
    <xf numFmtId="189" fontId="43" fillId="0" borderId="0" xfId="2" applyNumberFormat="1" applyFont="1"/>
    <xf numFmtId="187" fontId="28" fillId="0" borderId="0" xfId="2" applyNumberFormat="1" applyFont="1" applyAlignment="1">
      <alignment horizontal="right"/>
    </xf>
    <xf numFmtId="0" fontId="28" fillId="0" borderId="8" xfId="2" applyFont="1" applyBorder="1" applyAlignment="1">
      <alignment horizontal="right"/>
    </xf>
    <xf numFmtId="0" fontId="28" fillId="0" borderId="1" xfId="2" applyFont="1" applyBorder="1" applyAlignment="1">
      <alignment horizontal="right"/>
    </xf>
    <xf numFmtId="187" fontId="28" fillId="0" borderId="1" xfId="2" applyNumberFormat="1" applyFont="1" applyBorder="1"/>
    <xf numFmtId="0" fontId="28" fillId="0" borderId="10" xfId="2" applyFont="1" applyBorder="1" applyAlignment="1">
      <alignment horizontal="right"/>
    </xf>
    <xf numFmtId="0" fontId="28" fillId="0" borderId="0" xfId="2" applyFont="1" applyAlignment="1">
      <alignment horizontal="right"/>
    </xf>
    <xf numFmtId="187" fontId="28" fillId="0" borderId="0" xfId="2" applyNumberFormat="1" applyFont="1"/>
    <xf numFmtId="0" fontId="31" fillId="4" borderId="13" xfId="2" applyFont="1" applyFill="1" applyBorder="1" applyAlignment="1">
      <alignment horizontal="right"/>
    </xf>
    <xf numFmtId="0" fontId="31" fillId="4" borderId="5" xfId="2" applyFont="1" applyFill="1" applyBorder="1" applyAlignment="1">
      <alignment horizontal="right"/>
    </xf>
    <xf numFmtId="187" fontId="31" fillId="4" borderId="5" xfId="2" applyNumberFormat="1" applyFont="1" applyFill="1" applyBorder="1"/>
    <xf numFmtId="0" fontId="28" fillId="0" borderId="6" xfId="2" applyFont="1" applyBorder="1" applyAlignment="1">
      <alignment horizontal="right"/>
    </xf>
    <xf numFmtId="0" fontId="28" fillId="0" borderId="2" xfId="2" applyFont="1" applyBorder="1" applyAlignment="1">
      <alignment horizontal="right"/>
    </xf>
    <xf numFmtId="187" fontId="28" fillId="0" borderId="2" xfId="2" applyNumberFormat="1" applyFont="1" applyBorder="1"/>
    <xf numFmtId="0" fontId="20" fillId="12" borderId="2" xfId="7" applyFont="1" applyFill="1" applyBorder="1"/>
    <xf numFmtId="0" fontId="6" fillId="0" borderId="0" xfId="7" applyFont="1"/>
    <xf numFmtId="0" fontId="20" fillId="0" borderId="0" xfId="7" applyFont="1"/>
    <xf numFmtId="184" fontId="33" fillId="0" borderId="0" xfId="0" applyNumberFormat="1" applyFont="1"/>
    <xf numFmtId="0" fontId="51" fillId="0" borderId="0" xfId="7" applyFont="1"/>
    <xf numFmtId="14" fontId="28" fillId="0" borderId="0" xfId="7" applyNumberFormat="1" applyFont="1"/>
    <xf numFmtId="173" fontId="28" fillId="0" borderId="0" xfId="0" applyNumberFormat="1" applyFont="1"/>
    <xf numFmtId="168" fontId="22" fillId="0" borderId="0" xfId="0" applyNumberFormat="1" applyFont="1"/>
    <xf numFmtId="175" fontId="25" fillId="0" borderId="2" xfId="0" applyNumberFormat="1" applyFont="1" applyBorder="1"/>
    <xf numFmtId="175" fontId="52" fillId="0" borderId="0" xfId="0" applyNumberFormat="1" applyFont="1"/>
    <xf numFmtId="195" fontId="28" fillId="0" borderId="0" xfId="0" applyNumberFormat="1" applyFont="1"/>
    <xf numFmtId="176" fontId="28" fillId="0" borderId="0" xfId="2" applyNumberFormat="1" applyFont="1"/>
    <xf numFmtId="0" fontId="5" fillId="0" borderId="0" xfId="7" applyFont="1"/>
    <xf numFmtId="0" fontId="23" fillId="3" borderId="8" xfId="7" applyFont="1" applyFill="1" applyBorder="1" applyAlignment="1">
      <alignment horizontal="left"/>
    </xf>
    <xf numFmtId="0" fontId="24" fillId="3" borderId="1" xfId="7" applyFont="1" applyFill="1" applyBorder="1" applyAlignment="1">
      <alignment horizontal="left"/>
    </xf>
    <xf numFmtId="0" fontId="48" fillId="3" borderId="1" xfId="7" applyFont="1" applyFill="1" applyBorder="1" applyAlignment="1">
      <alignment horizontal="left"/>
    </xf>
    <xf numFmtId="0" fontId="23" fillId="3" borderId="9" xfId="7" applyFont="1" applyFill="1" applyBorder="1" applyAlignment="1">
      <alignment horizontal="right"/>
    </xf>
    <xf numFmtId="0" fontId="23" fillId="3" borderId="10" xfId="7" applyFont="1" applyFill="1" applyBorder="1" applyAlignment="1">
      <alignment horizontal="left"/>
    </xf>
    <xf numFmtId="0" fontId="24" fillId="3" borderId="0" xfId="7" applyFont="1" applyFill="1" applyAlignment="1">
      <alignment horizontal="left"/>
    </xf>
    <xf numFmtId="0" fontId="48" fillId="3" borderId="0" xfId="7" applyFont="1" applyFill="1" applyAlignment="1">
      <alignment horizontal="left"/>
    </xf>
    <xf numFmtId="0" fontId="23" fillId="3" borderId="11" xfId="7" applyFont="1" applyFill="1" applyBorder="1" applyAlignment="1">
      <alignment horizontal="right"/>
    </xf>
    <xf numFmtId="0" fontId="20" fillId="6" borderId="10" xfId="7" applyFont="1" applyFill="1" applyBorder="1" applyAlignment="1">
      <alignment horizontal="centerContinuous"/>
    </xf>
    <xf numFmtId="174" fontId="25" fillId="0" borderId="15" xfId="7" applyNumberFormat="1" applyFont="1" applyBorder="1"/>
    <xf numFmtId="0" fontId="20" fillId="6" borderId="8" xfId="7" applyFont="1" applyFill="1" applyBorder="1" applyAlignment="1">
      <alignment horizontal="centerContinuous"/>
    </xf>
    <xf numFmtId="4" fontId="25" fillId="0" borderId="15" xfId="7" applyNumberFormat="1" applyFont="1" applyBorder="1" applyAlignment="1">
      <alignment horizontal="right"/>
    </xf>
    <xf numFmtId="186" fontId="25" fillId="0" borderId="15" xfId="7" applyNumberFormat="1" applyFont="1" applyBorder="1"/>
    <xf numFmtId="167" fontId="25" fillId="0" borderId="15" xfId="7" applyNumberFormat="1" applyFont="1" applyBorder="1" applyAlignment="1">
      <alignment horizontal="right"/>
    </xf>
    <xf numFmtId="186" fontId="25" fillId="7" borderId="5" xfId="7" applyNumberFormat="1" applyFont="1" applyFill="1" applyBorder="1"/>
    <xf numFmtId="167" fontId="25" fillId="7" borderId="5" xfId="7" applyNumberFormat="1" applyFont="1" applyFill="1" applyBorder="1" applyAlignment="1">
      <alignment horizontal="right"/>
    </xf>
    <xf numFmtId="165" fontId="25" fillId="0" borderId="15" xfId="7" applyNumberFormat="1" applyFont="1" applyBorder="1"/>
    <xf numFmtId="167" fontId="25" fillId="0" borderId="5" xfId="7" applyNumberFormat="1" applyFont="1" applyBorder="1"/>
    <xf numFmtId="186" fontId="25" fillId="7" borderId="1" xfId="7" applyNumberFormat="1" applyFont="1" applyFill="1" applyBorder="1"/>
    <xf numFmtId="167" fontId="25" fillId="7" borderId="1" xfId="7" applyNumberFormat="1" applyFont="1" applyFill="1" applyBorder="1" applyAlignment="1">
      <alignment horizontal="right"/>
    </xf>
    <xf numFmtId="186" fontId="25" fillId="7" borderId="11" xfId="7" applyNumberFormat="1" applyFont="1" applyFill="1" applyBorder="1"/>
    <xf numFmtId="186" fontId="25" fillId="7" borderId="0" xfId="7" applyNumberFormat="1" applyFont="1" applyFill="1"/>
    <xf numFmtId="186" fontId="25" fillId="7" borderId="14" xfId="7" applyNumberFormat="1" applyFont="1" applyFill="1" applyBorder="1"/>
    <xf numFmtId="4" fontId="20" fillId="0" borderId="15" xfId="7" applyNumberFormat="1" applyFont="1" applyBorder="1"/>
    <xf numFmtId="4" fontId="25" fillId="0" borderId="15" xfId="7" applyNumberFormat="1" applyFont="1" applyBorder="1"/>
    <xf numFmtId="0" fontId="18" fillId="3" borderId="13" xfId="7" applyFont="1" applyFill="1" applyBorder="1" applyAlignment="1">
      <alignment horizontal="centerContinuous"/>
    </xf>
    <xf numFmtId="0" fontId="20" fillId="13" borderId="10" xfId="7" applyFont="1" applyFill="1" applyBorder="1" applyAlignment="1">
      <alignment horizontal="centerContinuous"/>
    </xf>
    <xf numFmtId="184" fontId="28" fillId="13" borderId="13" xfId="0" applyNumberFormat="1" applyFont="1" applyFill="1" applyBorder="1" applyAlignment="1">
      <alignment horizontal="center"/>
    </xf>
    <xf numFmtId="184" fontId="28" fillId="13" borderId="5" xfId="0" applyNumberFormat="1" applyFont="1" applyFill="1" applyBorder="1" applyAlignment="1">
      <alignment horizontal="center"/>
    </xf>
    <xf numFmtId="184" fontId="28" fillId="13" borderId="14" xfId="0" applyNumberFormat="1" applyFont="1" applyFill="1" applyBorder="1" applyAlignment="1">
      <alignment horizontal="center"/>
    </xf>
    <xf numFmtId="184" fontId="28" fillId="13" borderId="15" xfId="0" applyNumberFormat="1" applyFont="1" applyFill="1" applyBorder="1" applyAlignment="1">
      <alignment horizontal="center"/>
    </xf>
    <xf numFmtId="0" fontId="21" fillId="3" borderId="5" xfId="7" applyFont="1" applyFill="1" applyBorder="1" applyAlignment="1">
      <alignment horizontal="centerContinuous"/>
    </xf>
    <xf numFmtId="0" fontId="21" fillId="3" borderId="14" xfId="7" applyFont="1" applyFill="1" applyBorder="1" applyAlignment="1">
      <alignment horizontal="centerContinuous"/>
    </xf>
    <xf numFmtId="0" fontId="20" fillId="13" borderId="13" xfId="7" applyFont="1" applyFill="1" applyBorder="1" applyAlignment="1">
      <alignment horizontal="center"/>
    </xf>
    <xf numFmtId="0" fontId="20" fillId="13" borderId="5" xfId="7" applyFont="1" applyFill="1" applyBorder="1" applyAlignment="1">
      <alignment horizontal="center"/>
    </xf>
    <xf numFmtId="0" fontId="20" fillId="13" borderId="14" xfId="7" applyFont="1" applyFill="1" applyBorder="1" applyAlignment="1">
      <alignment horizontal="center"/>
    </xf>
    <xf numFmtId="0" fontId="20" fillId="13" borderId="15" xfId="7" applyFont="1" applyFill="1" applyBorder="1" applyAlignment="1">
      <alignment horizontal="center"/>
    </xf>
    <xf numFmtId="0" fontId="25" fillId="0" borderId="0" xfId="7" applyFont="1" applyAlignment="1">
      <alignment horizontal="center"/>
    </xf>
    <xf numFmtId="0" fontId="4" fillId="0" borderId="0" xfId="7" applyFont="1"/>
    <xf numFmtId="167" fontId="39" fillId="0" borderId="15" xfId="7" applyNumberFormat="1" applyFont="1" applyBorder="1"/>
    <xf numFmtId="0" fontId="3" fillId="0" borderId="0" xfId="11" applyFont="1"/>
    <xf numFmtId="174" fontId="28" fillId="0" borderId="0" xfId="2" applyNumberFormat="1" applyFont="1"/>
    <xf numFmtId="187" fontId="39" fillId="0" borderId="0" xfId="2" applyNumberFormat="1" applyFont="1"/>
    <xf numFmtId="165" fontId="39" fillId="0" borderId="0" xfId="2" applyNumberFormat="1" applyFont="1"/>
    <xf numFmtId="166" fontId="39" fillId="0" borderId="0" xfId="2" applyNumberFormat="1" applyFont="1"/>
    <xf numFmtId="187" fontId="39" fillId="0" borderId="0" xfId="2" quotePrefix="1" applyNumberFormat="1" applyFont="1"/>
    <xf numFmtId="0" fontId="19" fillId="0" borderId="0" xfId="11" applyFont="1"/>
    <xf numFmtId="167" fontId="39" fillId="0" borderId="0" xfId="2" applyNumberFormat="1" applyFont="1"/>
    <xf numFmtId="0" fontId="20" fillId="12" borderId="2" xfId="11" applyFont="1" applyFill="1" applyBorder="1"/>
    <xf numFmtId="0" fontId="20" fillId="12" borderId="2" xfId="11" applyFont="1" applyFill="1" applyBorder="1" applyAlignment="1">
      <alignment horizontal="centerContinuous"/>
    </xf>
    <xf numFmtId="192" fontId="28" fillId="2" borderId="7" xfId="0" applyNumberFormat="1" applyFont="1" applyFill="1" applyBorder="1" applyAlignment="1">
      <alignment horizontal="center"/>
    </xf>
    <xf numFmtId="0" fontId="2" fillId="0" borderId="0" xfId="10" applyFont="1"/>
    <xf numFmtId="167" fontId="39" fillId="0" borderId="0" xfId="10" applyNumberFormat="1" applyFont="1"/>
    <xf numFmtId="0" fontId="39" fillId="0" borderId="0" xfId="10" applyFont="1"/>
    <xf numFmtId="168" fontId="39" fillId="0" borderId="0" xfId="10" applyNumberFormat="1" applyFont="1"/>
    <xf numFmtId="177" fontId="18" fillId="10" borderId="0" xfId="0" applyNumberFormat="1" applyFont="1" applyFill="1" applyAlignment="1">
      <alignment horizontal="center"/>
    </xf>
    <xf numFmtId="197" fontId="28" fillId="0" borderId="1" xfId="2" applyNumberFormat="1" applyFont="1" applyBorder="1"/>
    <xf numFmtId="197" fontId="31" fillId="4" borderId="5" xfId="2" applyNumberFormat="1" applyFont="1" applyFill="1" applyBorder="1"/>
    <xf numFmtId="196" fontId="28" fillId="0" borderId="0" xfId="2" applyNumberFormat="1" applyFont="1"/>
    <xf numFmtId="196" fontId="28" fillId="0" borderId="2" xfId="2" applyNumberFormat="1" applyFont="1" applyBorder="1"/>
    <xf numFmtId="174" fontId="25" fillId="0" borderId="0" xfId="0" applyNumberFormat="1" applyFont="1" applyAlignment="1">
      <alignment vertical="top" wrapText="1"/>
    </xf>
    <xf numFmtId="175" fontId="25" fillId="0" borderId="0" xfId="0" applyNumberFormat="1" applyFont="1" applyAlignment="1">
      <alignment vertical="top" wrapText="1"/>
    </xf>
    <xf numFmtId="187" fontId="28" fillId="0" borderId="0" xfId="9" applyNumberFormat="1" applyFont="1" applyAlignment="1">
      <alignment vertical="top" wrapText="1"/>
    </xf>
    <xf numFmtId="170" fontId="25" fillId="2" borderId="3" xfId="0" applyNumberFormat="1" applyFont="1" applyFill="1" applyBorder="1" applyAlignment="1">
      <alignment horizontal="center"/>
    </xf>
    <xf numFmtId="174" fontId="18" fillId="5" borderId="5" xfId="2" applyNumberFormat="1" applyFont="1" applyFill="1" applyBorder="1"/>
    <xf numFmtId="198" fontId="18" fillId="10" borderId="0" xfId="0" applyNumberFormat="1" applyFont="1" applyFill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indent="1"/>
    </xf>
    <xf numFmtId="0" fontId="30" fillId="11" borderId="2" xfId="0" applyFont="1" applyFill="1" applyBorder="1" applyAlignment="1">
      <alignment horizontal="center"/>
    </xf>
    <xf numFmtId="0" fontId="22" fillId="12" borderId="2" xfId="0" applyFont="1" applyFill="1" applyBorder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 indent="1"/>
    </xf>
    <xf numFmtId="0" fontId="37" fillId="0" borderId="0" xfId="0" applyFont="1"/>
    <xf numFmtId="0" fontId="20" fillId="7" borderId="2" xfId="0" applyFont="1" applyFill="1" applyBorder="1" applyAlignment="1">
      <alignment horizontal="centerContinuous"/>
    </xf>
    <xf numFmtId="0" fontId="28" fillId="0" borderId="2" xfId="2" applyFont="1" applyBorder="1" applyAlignment="1">
      <alignment horizontal="left" indent="1"/>
    </xf>
    <xf numFmtId="0" fontId="35" fillId="0" borderId="0" xfId="2" applyFont="1"/>
    <xf numFmtId="0" fontId="31" fillId="0" borderId="0" xfId="2" applyFont="1" applyAlignment="1">
      <alignment horizontal="left" indent="1"/>
    </xf>
    <xf numFmtId="0" fontId="20" fillId="0" borderId="1" xfId="0" applyFont="1" applyBorder="1"/>
    <xf numFmtId="0" fontId="20" fillId="0" borderId="0" xfId="0" applyFont="1" applyAlignment="1">
      <alignment horizontal="left" indent="1"/>
    </xf>
    <xf numFmtId="0" fontId="22" fillId="0" borderId="2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42" fillId="0" borderId="0" xfId="0" applyFont="1" applyAlignment="1">
      <alignment horizontal="left" indent="1"/>
    </xf>
    <xf numFmtId="0" fontId="40" fillId="0" borderId="1" xfId="0" applyFont="1" applyBorder="1"/>
    <xf numFmtId="0" fontId="22" fillId="0" borderId="1" xfId="0" applyFont="1" applyBorder="1" applyAlignment="1">
      <alignment horizontal="center"/>
    </xf>
    <xf numFmtId="0" fontId="42" fillId="0" borderId="2" xfId="0" applyFont="1" applyBorder="1" applyAlignment="1">
      <alignment horizontal="left" indent="1"/>
    </xf>
    <xf numFmtId="0" fontId="41" fillId="0" borderId="0" xfId="0" applyFont="1" applyAlignment="1">
      <alignment horizontal="left" indent="1"/>
    </xf>
    <xf numFmtId="0" fontId="40" fillId="8" borderId="0" xfId="0" applyFont="1" applyFill="1"/>
    <xf numFmtId="0" fontId="22" fillId="8" borderId="0" xfId="0" applyFont="1" applyFill="1" applyAlignment="1">
      <alignment horizontal="center"/>
    </xf>
    <xf numFmtId="0" fontId="35" fillId="0" borderId="0" xfId="2" applyFont="1" applyAlignment="1">
      <alignment horizontal="center"/>
    </xf>
    <xf numFmtId="0" fontId="41" fillId="0" borderId="0" xfId="0" applyFont="1"/>
    <xf numFmtId="0" fontId="40" fillId="9" borderId="0" xfId="0" applyFont="1" applyFill="1"/>
    <xf numFmtId="0" fontId="22" fillId="9" borderId="0" xfId="0" applyFont="1" applyFill="1" applyAlignment="1">
      <alignment horizontal="center"/>
    </xf>
    <xf numFmtId="0" fontId="23" fillId="3" borderId="0" xfId="7" applyFont="1" applyFill="1" applyAlignment="1">
      <alignment horizontal="left"/>
    </xf>
    <xf numFmtId="0" fontId="1" fillId="0" borderId="0" xfId="7" applyFont="1" applyAlignment="1">
      <alignment horizontal="left" indent="1"/>
    </xf>
    <xf numFmtId="192" fontId="39" fillId="0" borderId="0" xfId="0" applyNumberFormat="1" applyFont="1" applyAlignment="1">
      <alignment horizontal="center"/>
    </xf>
    <xf numFmtId="49" fontId="25" fillId="2" borderId="22" xfId="1" applyNumberFormat="1" applyFont="1" applyBorder="1" applyAlignment="1">
      <alignment horizontal="center"/>
    </xf>
    <xf numFmtId="49" fontId="25" fillId="14" borderId="0" xfId="1" applyNumberFormat="1" applyFont="1" applyFill="1" applyBorder="1" applyAlignment="1">
      <alignment horizontal="center"/>
    </xf>
    <xf numFmtId="49" fontId="25" fillId="2" borderId="23" xfId="1" applyNumberFormat="1" applyFont="1" applyBorder="1" applyAlignment="1">
      <alignment horizontal="left"/>
    </xf>
    <xf numFmtId="49" fontId="25" fillId="14" borderId="0" xfId="1" applyNumberFormat="1" applyFont="1" applyFill="1" applyBorder="1" applyAlignment="1">
      <alignment horizontal="left"/>
    </xf>
    <xf numFmtId="0" fontId="22" fillId="0" borderId="24" xfId="0" applyFont="1" applyBorder="1"/>
    <xf numFmtId="169" fontId="18" fillId="11" borderId="24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75" fontId="28" fillId="7" borderId="0" xfId="0" applyNumberFormat="1" applyFont="1" applyFill="1"/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indent="1"/>
    </xf>
    <xf numFmtId="0" fontId="1" fillId="0" borderId="0" xfId="0" applyFont="1"/>
    <xf numFmtId="199" fontId="55" fillId="14" borderId="25" xfId="2" applyNumberFormat="1" applyFont="1" applyFill="1" applyBorder="1"/>
    <xf numFmtId="199" fontId="56" fillId="14" borderId="0" xfId="2" applyNumberFormat="1" applyFont="1" applyFill="1"/>
    <xf numFmtId="200" fontId="56" fillId="14" borderId="0" xfId="12" applyNumberFormat="1" applyFont="1" applyFill="1"/>
    <xf numFmtId="200" fontId="56" fillId="7" borderId="0" xfId="12" applyNumberFormat="1" applyFont="1" applyFill="1"/>
    <xf numFmtId="199" fontId="55" fillId="14" borderId="26" xfId="2" applyNumberFormat="1" applyFont="1" applyFill="1" applyBorder="1"/>
    <xf numFmtId="200" fontId="55" fillId="14" borderId="26" xfId="12" applyNumberFormat="1" applyFont="1" applyFill="1" applyBorder="1"/>
    <xf numFmtId="200" fontId="55" fillId="7" borderId="26" xfId="12" applyNumberFormat="1" applyFont="1" applyFill="1" applyBorder="1"/>
    <xf numFmtId="14" fontId="55" fillId="14" borderId="25" xfId="2" applyNumberFormat="1" applyFont="1" applyFill="1" applyBorder="1" applyAlignment="1">
      <alignment horizontal="right" wrapText="1"/>
    </xf>
    <xf numFmtId="0" fontId="60" fillId="15" borderId="0" xfId="0" applyFont="1" applyFill="1"/>
    <xf numFmtId="0" fontId="59" fillId="15" borderId="0" xfId="0" applyFont="1" applyFill="1" applyAlignment="1">
      <alignment horizontal="center"/>
    </xf>
    <xf numFmtId="0" fontId="0" fillId="14" borderId="0" xfId="0" applyFill="1"/>
    <xf numFmtId="0" fontId="58" fillId="14" borderId="0" xfId="0" applyFont="1" applyFill="1"/>
    <xf numFmtId="0" fontId="57" fillId="14" borderId="0" xfId="0" applyFont="1" applyFill="1"/>
    <xf numFmtId="192" fontId="25" fillId="14" borderId="0" xfId="0" applyNumberFormat="1" applyFont="1" applyFill="1" applyAlignment="1">
      <alignment horizontal="center"/>
    </xf>
    <xf numFmtId="192" fontId="28" fillId="14" borderId="0" xfId="0" applyNumberFormat="1" applyFont="1" applyFill="1" applyAlignment="1">
      <alignment horizontal="center"/>
    </xf>
    <xf numFmtId="0" fontId="22" fillId="14" borderId="0" xfId="0" applyFont="1" applyFill="1"/>
    <xf numFmtId="191" fontId="28" fillId="14" borderId="0" xfId="0" applyNumberFormat="1" applyFont="1" applyFill="1" applyAlignment="1">
      <alignment horizontal="center"/>
    </xf>
    <xf numFmtId="191" fontId="25" fillId="14" borderId="0" xfId="0" applyNumberFormat="1" applyFont="1" applyFill="1" applyAlignment="1">
      <alignment horizontal="center"/>
    </xf>
    <xf numFmtId="0" fontId="21" fillId="0" borderId="0" xfId="0" applyFont="1"/>
    <xf numFmtId="0" fontId="61" fillId="0" borderId="0" xfId="0" applyFont="1"/>
    <xf numFmtId="175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/>
    <xf numFmtId="170" fontId="1" fillId="0" borderId="0" xfId="0" applyNumberFormat="1" applyFont="1"/>
    <xf numFmtId="170" fontId="1" fillId="0" borderId="1" xfId="0" applyNumberFormat="1" applyFont="1" applyBorder="1"/>
    <xf numFmtId="172" fontId="1" fillId="14" borderId="0" xfId="0" applyNumberFormat="1" applyFont="1" applyFill="1"/>
    <xf numFmtId="183" fontId="1" fillId="0" borderId="0" xfId="0" applyNumberFormat="1" applyFont="1"/>
    <xf numFmtId="172" fontId="1" fillId="0" borderId="0" xfId="0" applyNumberFormat="1" applyFont="1"/>
    <xf numFmtId="174" fontId="1" fillId="0" borderId="0" xfId="0" applyNumberFormat="1" applyFont="1"/>
    <xf numFmtId="0" fontId="1" fillId="0" borderId="0" xfId="0" applyFont="1" applyAlignment="1">
      <alignment horizontal="center"/>
    </xf>
    <xf numFmtId="173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7" borderId="2" xfId="0" applyFont="1" applyFill="1" applyBorder="1" applyAlignment="1">
      <alignment horizontal="centerContinuous"/>
    </xf>
    <xf numFmtId="3" fontId="1" fillId="14" borderId="0" xfId="0" applyNumberFormat="1" applyFont="1" applyFill="1" applyAlignment="1">
      <alignment horizontal="center"/>
    </xf>
    <xf numFmtId="175" fontId="1" fillId="0" borderId="2" xfId="0" applyNumberFormat="1" applyFont="1" applyBorder="1"/>
    <xf numFmtId="0" fontId="1" fillId="0" borderId="2" xfId="0" applyFont="1" applyBorder="1"/>
    <xf numFmtId="0" fontId="1" fillId="12" borderId="0" xfId="0" applyFont="1" applyFill="1"/>
    <xf numFmtId="179" fontId="1" fillId="0" borderId="0" xfId="0" applyNumberFormat="1" applyFont="1"/>
    <xf numFmtId="9" fontId="1" fillId="0" borderId="0" xfId="0" applyNumberFormat="1" applyFont="1"/>
    <xf numFmtId="168" fontId="1" fillId="0" borderId="0" xfId="0" applyNumberFormat="1" applyFont="1"/>
    <xf numFmtId="167" fontId="1" fillId="0" borderId="1" xfId="0" applyNumberFormat="1" applyFont="1" applyBorder="1"/>
    <xf numFmtId="167" fontId="1" fillId="0" borderId="0" xfId="0" applyNumberFormat="1" applyFont="1"/>
    <xf numFmtId="168" fontId="1" fillId="0" borderId="10" xfId="0" applyNumberFormat="1" applyFont="1" applyBorder="1"/>
    <xf numFmtId="0" fontId="1" fillId="0" borderId="0" xfId="10" applyFont="1"/>
    <xf numFmtId="0" fontId="1" fillId="0" borderId="0" xfId="10" applyFont="1" applyAlignment="1">
      <alignment horizontal="center"/>
    </xf>
    <xf numFmtId="167" fontId="1" fillId="0" borderId="0" xfId="10" applyNumberFormat="1" applyFont="1"/>
    <xf numFmtId="0" fontId="1" fillId="0" borderId="0" xfId="11" applyFont="1"/>
    <xf numFmtId="166" fontId="1" fillId="0" borderId="0" xfId="11" applyNumberFormat="1" applyFont="1"/>
    <xf numFmtId="0" fontId="1" fillId="12" borderId="2" xfId="11" applyFont="1" applyFill="1" applyBorder="1"/>
    <xf numFmtId="0" fontId="1" fillId="12" borderId="2" xfId="11" applyFont="1" applyFill="1" applyBorder="1" applyAlignment="1">
      <alignment horizontal="centerContinuous"/>
    </xf>
    <xf numFmtId="174" fontId="1" fillId="0" borderId="0" xfId="11" applyNumberFormat="1" applyFont="1"/>
    <xf numFmtId="175" fontId="1" fillId="0" borderId="0" xfId="11" applyNumberFormat="1" applyFont="1"/>
    <xf numFmtId="165" fontId="1" fillId="0" borderId="0" xfId="11" applyNumberFormat="1" applyFont="1"/>
    <xf numFmtId="0" fontId="1" fillId="0" borderId="0" xfId="7" applyFont="1"/>
    <xf numFmtId="0" fontId="1" fillId="0" borderId="0" xfId="7" applyFont="1" applyAlignment="1">
      <alignment horizontal="center"/>
    </xf>
    <xf numFmtId="0" fontId="1" fillId="13" borderId="0" xfId="7" applyFont="1" applyFill="1" applyAlignment="1">
      <alignment horizontal="centerContinuous"/>
    </xf>
    <xf numFmtId="0" fontId="1" fillId="13" borderId="11" xfId="7" applyFont="1" applyFill="1" applyBorder="1" applyAlignment="1">
      <alignment horizontal="centerContinuous"/>
    </xf>
    <xf numFmtId="0" fontId="1" fillId="6" borderId="0" xfId="7" applyFont="1" applyFill="1" applyAlignment="1">
      <alignment horizontal="centerContinuous"/>
    </xf>
    <xf numFmtId="0" fontId="1" fillId="6" borderId="1" xfId="7" applyFont="1" applyFill="1" applyBorder="1" applyAlignment="1">
      <alignment horizontal="centerContinuous"/>
    </xf>
    <xf numFmtId="0" fontId="1" fillId="6" borderId="10" xfId="7" applyFont="1" applyFill="1" applyBorder="1"/>
    <xf numFmtId="0" fontId="1" fillId="6" borderId="0" xfId="7" applyFont="1" applyFill="1"/>
    <xf numFmtId="0" fontId="1" fillId="6" borderId="11" xfId="7" applyFont="1" applyFill="1" applyBorder="1"/>
    <xf numFmtId="186" fontId="1" fillId="0" borderId="15" xfId="7" applyNumberFormat="1" applyFont="1" applyBorder="1"/>
    <xf numFmtId="0" fontId="1" fillId="7" borderId="10" xfId="7" applyFont="1" applyFill="1" applyBorder="1"/>
    <xf numFmtId="4" fontId="1" fillId="7" borderId="14" xfId="7" applyNumberFormat="1" applyFont="1" applyFill="1" applyBorder="1"/>
    <xf numFmtId="167" fontId="1" fillId="0" borderId="0" xfId="7" applyNumberFormat="1" applyFont="1"/>
    <xf numFmtId="4" fontId="1" fillId="7" borderId="9" xfId="7" applyNumberFormat="1" applyFont="1" applyFill="1" applyBorder="1"/>
    <xf numFmtId="0" fontId="1" fillId="6" borderId="6" xfId="7" applyFont="1" applyFill="1" applyBorder="1"/>
    <xf numFmtId="0" fontId="1" fillId="6" borderId="2" xfId="7" applyFont="1" applyFill="1" applyBorder="1"/>
    <xf numFmtId="0" fontId="1" fillId="0" borderId="8" xfId="7" applyFont="1" applyBorder="1"/>
    <xf numFmtId="0" fontId="1" fillId="0" borderId="9" xfId="7" applyFont="1" applyBorder="1"/>
    <xf numFmtId="0" fontId="1" fillId="6" borderId="9" xfId="7" applyFont="1" applyFill="1" applyBorder="1" applyAlignment="1">
      <alignment horizontal="centerContinuous"/>
    </xf>
    <xf numFmtId="174" fontId="1" fillId="0" borderId="15" xfId="7" applyNumberFormat="1" applyFont="1" applyBorder="1"/>
    <xf numFmtId="0" fontId="1" fillId="12" borderId="2" xfId="7" applyFont="1" applyFill="1" applyBorder="1"/>
    <xf numFmtId="0" fontId="1" fillId="0" borderId="1" xfId="7" applyFont="1" applyBorder="1"/>
    <xf numFmtId="14" fontId="1" fillId="0" borderId="0" xfId="7" applyNumberFormat="1" applyFont="1"/>
    <xf numFmtId="0" fontId="62" fillId="0" borderId="0" xfId="0" applyFont="1"/>
    <xf numFmtId="201" fontId="1" fillId="0" borderId="0" xfId="0" applyNumberFormat="1" applyFont="1"/>
    <xf numFmtId="201" fontId="1" fillId="14" borderId="0" xfId="0" applyNumberFormat="1" applyFont="1" applyFill="1"/>
    <xf numFmtId="201" fontId="26" fillId="2" borderId="3" xfId="1" applyNumberFormat="1" applyFont="1" applyAlignment="1">
      <alignment horizontal="center"/>
    </xf>
    <xf numFmtId="201" fontId="33" fillId="0" borderId="0" xfId="0" applyNumberFormat="1" applyFont="1"/>
    <xf numFmtId="172" fontId="33" fillId="0" borderId="0" xfId="0" applyNumberFormat="1" applyFont="1"/>
    <xf numFmtId="201" fontId="1" fillId="7" borderId="0" xfId="0" applyNumberFormat="1" applyFont="1" applyFill="1"/>
    <xf numFmtId="0" fontId="61" fillId="0" borderId="0" xfId="0" applyFont="1" applyAlignment="1">
      <alignment horizontal="left" indent="1"/>
    </xf>
    <xf numFmtId="2" fontId="1" fillId="0" borderId="0" xfId="0" applyNumberFormat="1" applyFont="1"/>
    <xf numFmtId="2" fontId="1" fillId="14" borderId="0" xfId="0" applyNumberFormat="1" applyFont="1" applyFill="1"/>
    <xf numFmtId="2" fontId="26" fillId="2" borderId="3" xfId="1" applyNumberFormat="1" applyFont="1" applyAlignment="1">
      <alignment horizontal="center"/>
    </xf>
    <xf numFmtId="202" fontId="25" fillId="0" borderId="0" xfId="0" applyNumberFormat="1" applyFont="1"/>
    <xf numFmtId="43" fontId="1" fillId="0" borderId="0" xfId="0" applyNumberFormat="1" applyFont="1"/>
    <xf numFmtId="172" fontId="63" fillId="0" borderId="0" xfId="0" applyNumberFormat="1" applyFont="1"/>
    <xf numFmtId="201" fontId="1" fillId="0" borderId="0" xfId="0" applyNumberFormat="1" applyFont="1" applyAlignment="1">
      <alignment horizontal="right"/>
    </xf>
    <xf numFmtId="172" fontId="57" fillId="14" borderId="0" xfId="13" applyNumberFormat="1" applyFont="1" applyFill="1"/>
    <xf numFmtId="172" fontId="57" fillId="7" borderId="0" xfId="13" applyNumberFormat="1" applyFont="1" applyFill="1"/>
    <xf numFmtId="172" fontId="0" fillId="14" borderId="0" xfId="0" applyNumberFormat="1" applyFill="1"/>
    <xf numFmtId="175" fontId="33" fillId="7" borderId="0" xfId="0" applyNumberFormat="1" applyFont="1" applyFill="1"/>
    <xf numFmtId="175" fontId="33" fillId="7" borderId="2" xfId="0" applyNumberFormat="1" applyFont="1" applyFill="1" applyBorder="1"/>
    <xf numFmtId="174" fontId="27" fillId="0" borderId="0" xfId="2" applyNumberFormat="1" applyFont="1"/>
    <xf numFmtId="0" fontId="31" fillId="4" borderId="27" xfId="2" applyFont="1" applyFill="1" applyBorder="1"/>
    <xf numFmtId="0" fontId="31" fillId="4" borderId="28" xfId="2" applyFont="1" applyFill="1" applyBorder="1"/>
    <xf numFmtId="0" fontId="28" fillId="0" borderId="30" xfId="2" applyFont="1" applyBorder="1"/>
    <xf numFmtId="0" fontId="28" fillId="0" borderId="31" xfId="2" applyFont="1" applyBorder="1"/>
    <xf numFmtId="0" fontId="28" fillId="0" borderId="33" xfId="2" applyFont="1" applyBorder="1"/>
    <xf numFmtId="0" fontId="28" fillId="0" borderId="35" xfId="2" applyFont="1" applyBorder="1"/>
    <xf numFmtId="0" fontId="31" fillId="0" borderId="36" xfId="2" applyFont="1" applyBorder="1"/>
    <xf numFmtId="203" fontId="28" fillId="0" borderId="0" xfId="2" applyNumberFormat="1" applyFont="1"/>
    <xf numFmtId="203" fontId="28" fillId="0" borderId="0" xfId="2" applyNumberFormat="1" applyFont="1" applyAlignment="1">
      <alignment horizontal="center"/>
    </xf>
    <xf numFmtId="203" fontId="27" fillId="0" borderId="31" xfId="2" applyNumberFormat="1" applyFont="1" applyBorder="1" applyAlignment="1">
      <alignment horizontal="center"/>
    </xf>
    <xf numFmtId="203" fontId="28" fillId="0" borderId="31" xfId="2" applyNumberFormat="1" applyFont="1" applyBorder="1" applyAlignment="1">
      <alignment horizontal="center"/>
    </xf>
    <xf numFmtId="203" fontId="27" fillId="0" borderId="0" xfId="2" applyNumberFormat="1" applyFont="1" applyAlignment="1">
      <alignment horizontal="center"/>
    </xf>
    <xf numFmtId="203" fontId="31" fillId="4" borderId="28" xfId="2" applyNumberFormat="1" applyFont="1" applyFill="1" applyBorder="1" applyAlignment="1">
      <alignment horizontal="center"/>
    </xf>
    <xf numFmtId="203" fontId="64" fillId="4" borderId="28" xfId="2" applyNumberFormat="1" applyFont="1" applyFill="1" applyBorder="1" applyAlignment="1">
      <alignment horizontal="center"/>
    </xf>
    <xf numFmtId="203" fontId="28" fillId="0" borderId="36" xfId="2" applyNumberFormat="1" applyFont="1" applyBorder="1" applyAlignment="1">
      <alignment horizontal="center"/>
    </xf>
    <xf numFmtId="203" fontId="27" fillId="0" borderId="36" xfId="2" applyNumberFormat="1" applyFont="1" applyBorder="1" applyAlignment="1">
      <alignment horizontal="center"/>
    </xf>
    <xf numFmtId="178" fontId="27" fillId="9" borderId="28" xfId="2" applyNumberFormat="1" applyFont="1" applyFill="1" applyBorder="1"/>
    <xf numFmtId="178" fontId="27" fillId="0" borderId="31" xfId="2" applyNumberFormat="1" applyFont="1" applyBorder="1"/>
    <xf numFmtId="178" fontId="27" fillId="0" borderId="36" xfId="2" applyNumberFormat="1" applyFont="1" applyBorder="1"/>
    <xf numFmtId="0" fontId="31" fillId="9" borderId="27" xfId="2" applyFont="1" applyFill="1" applyBorder="1"/>
    <xf numFmtId="203" fontId="64" fillId="9" borderId="28" xfId="2" applyNumberFormat="1" applyFont="1" applyFill="1" applyBorder="1" applyAlignment="1">
      <alignment horizontal="center"/>
    </xf>
    <xf numFmtId="178" fontId="27" fillId="0" borderId="32" xfId="2" applyNumberFormat="1" applyFont="1" applyBorder="1"/>
    <xf numFmtId="178" fontId="27" fillId="0" borderId="34" xfId="2" applyNumberFormat="1" applyFont="1" applyBorder="1"/>
    <xf numFmtId="178" fontId="27" fillId="0" borderId="37" xfId="2" applyNumberFormat="1" applyFont="1" applyBorder="1"/>
    <xf numFmtId="178" fontId="27" fillId="9" borderId="29" xfId="2" applyNumberFormat="1" applyFont="1" applyFill="1" applyBorder="1"/>
    <xf numFmtId="0" fontId="13" fillId="14" borderId="0" xfId="0" applyFont="1" applyFill="1"/>
    <xf numFmtId="0" fontId="1" fillId="14" borderId="0" xfId="0" applyFont="1" applyFill="1"/>
    <xf numFmtId="0" fontId="28" fillId="14" borderId="0" xfId="2" applyFont="1" applyFill="1"/>
    <xf numFmtId="0" fontId="40" fillId="14" borderId="0" xfId="0" applyFont="1" applyFill="1"/>
    <xf numFmtId="174" fontId="25" fillId="14" borderId="0" xfId="10" applyNumberFormat="1" applyFont="1" applyFill="1"/>
    <xf numFmtId="0" fontId="41" fillId="14" borderId="0" xfId="0" applyFont="1" applyFill="1" applyAlignment="1">
      <alignment horizontal="left" indent="1"/>
    </xf>
    <xf numFmtId="173" fontId="35" fillId="14" borderId="0" xfId="0" applyNumberFormat="1" applyFont="1" applyFill="1"/>
    <xf numFmtId="0" fontId="42" fillId="14" borderId="0" xfId="0" applyFont="1" applyFill="1"/>
    <xf numFmtId="175" fontId="28" fillId="14" borderId="0" xfId="10" applyNumberFormat="1" applyFont="1" applyFill="1"/>
    <xf numFmtId="175" fontId="33" fillId="14" borderId="0" xfId="0" applyNumberFormat="1" applyFont="1" applyFill="1"/>
    <xf numFmtId="175" fontId="38" fillId="14" borderId="0" xfId="0" applyNumberFormat="1" applyFont="1" applyFill="1"/>
    <xf numFmtId="0" fontId="42" fillId="14" borderId="0" xfId="0" applyFont="1" applyFill="1" applyAlignment="1">
      <alignment horizontal="left" indent="1"/>
    </xf>
    <xf numFmtId="175" fontId="25" fillId="14" borderId="0" xfId="10" applyNumberFormat="1" applyFont="1" applyFill="1"/>
    <xf numFmtId="0" fontId="42" fillId="14" borderId="2" xfId="0" applyFont="1" applyFill="1" applyBorder="1" applyAlignment="1">
      <alignment horizontal="left" indent="1"/>
    </xf>
    <xf numFmtId="175" fontId="28" fillId="14" borderId="2" xfId="10" applyNumberFormat="1" applyFont="1" applyFill="1" applyBorder="1"/>
    <xf numFmtId="175" fontId="20" fillId="14" borderId="0" xfId="0" applyNumberFormat="1" applyFont="1" applyFill="1"/>
    <xf numFmtId="175" fontId="25" fillId="14" borderId="2" xfId="10" applyNumberFormat="1" applyFont="1" applyFill="1" applyBorder="1"/>
    <xf numFmtId="168" fontId="1" fillId="14" borderId="0" xfId="0" applyNumberFormat="1" applyFont="1" applyFill="1"/>
    <xf numFmtId="175" fontId="52" fillId="14" borderId="0" xfId="10" applyNumberFormat="1" applyFont="1" applyFill="1"/>
    <xf numFmtId="0" fontId="20" fillId="14" borderId="0" xfId="0" applyFont="1" applyFill="1"/>
    <xf numFmtId="204" fontId="1" fillId="14" borderId="0" xfId="0" applyNumberFormat="1" applyFont="1" applyFill="1"/>
    <xf numFmtId="205" fontId="18" fillId="5" borderId="5" xfId="2" applyNumberFormat="1" applyFont="1" applyFill="1" applyBorder="1"/>
    <xf numFmtId="206" fontId="27" fillId="0" borderId="31" xfId="2" applyNumberFormat="1" applyFont="1" applyBorder="1" applyAlignment="1">
      <alignment horizontal="center"/>
    </xf>
    <xf numFmtId="206" fontId="27" fillId="0" borderId="0" xfId="2" applyNumberFormat="1" applyFont="1" applyAlignment="1">
      <alignment horizontal="center"/>
    </xf>
    <xf numFmtId="206" fontId="31" fillId="4" borderId="28" xfId="2" applyNumberFormat="1" applyFont="1" applyFill="1" applyBorder="1" applyAlignment="1">
      <alignment horizontal="center"/>
    </xf>
    <xf numFmtId="206" fontId="28" fillId="0" borderId="0" xfId="2" applyNumberFormat="1" applyFont="1" applyAlignment="1">
      <alignment horizontal="center"/>
    </xf>
    <xf numFmtId="206" fontId="28" fillId="0" borderId="36" xfId="2" applyNumberFormat="1" applyFont="1" applyBorder="1" applyAlignment="1">
      <alignment horizontal="center"/>
    </xf>
    <xf numFmtId="3" fontId="65" fillId="0" borderId="0" xfId="0" applyNumberFormat="1" applyFont="1"/>
    <xf numFmtId="207" fontId="28" fillId="0" borderId="0" xfId="2" applyNumberFormat="1" applyFont="1"/>
    <xf numFmtId="203" fontId="65" fillId="0" borderId="0" xfId="0" applyNumberFormat="1" applyFont="1" applyAlignment="1">
      <alignment horizontal="center"/>
    </xf>
    <xf numFmtId="9" fontId="65" fillId="0" borderId="0" xfId="0" applyNumberFormat="1" applyFont="1" applyAlignment="1">
      <alignment horizontal="center"/>
    </xf>
    <xf numFmtId="0" fontId="66" fillId="0" borderId="0" xfId="2" applyFont="1" applyAlignment="1">
      <alignment wrapText="1"/>
    </xf>
    <xf numFmtId="0" fontId="67" fillId="0" borderId="0" xfId="0" applyFont="1" applyAlignment="1">
      <alignment wrapText="1"/>
    </xf>
    <xf numFmtId="202" fontId="39" fillId="0" borderId="1" xfId="0" applyNumberFormat="1" applyFont="1" applyBorder="1"/>
    <xf numFmtId="202" fontId="39" fillId="0" borderId="0" xfId="0" applyNumberFormat="1" applyFont="1" applyAlignment="1">
      <alignment horizontal="right"/>
    </xf>
    <xf numFmtId="202" fontId="22" fillId="0" borderId="0" xfId="0" applyNumberFormat="1" applyFont="1"/>
    <xf numFmtId="2" fontId="39" fillId="0" borderId="0" xfId="0" applyNumberFormat="1" applyFont="1"/>
    <xf numFmtId="2" fontId="39" fillId="0" borderId="0" xfId="0" applyNumberFormat="1" applyFont="1" applyAlignment="1">
      <alignment horizontal="right"/>
    </xf>
    <xf numFmtId="0" fontId="21" fillId="0" borderId="0" xfId="2" applyFont="1"/>
    <xf numFmtId="208" fontId="28" fillId="2" borderId="17" xfId="0" applyNumberFormat="1" applyFont="1" applyFill="1" applyBorder="1"/>
    <xf numFmtId="0" fontId="13" fillId="0" borderId="0" xfId="2" applyFont="1"/>
    <xf numFmtId="187" fontId="28" fillId="0" borderId="9" xfId="2" applyNumberFormat="1" applyFont="1" applyBorder="1"/>
    <xf numFmtId="187" fontId="28" fillId="0" borderId="11" xfId="2" applyNumberFormat="1" applyFont="1" applyBorder="1"/>
    <xf numFmtId="187" fontId="31" fillId="4" borderId="14" xfId="2" applyNumberFormat="1" applyFont="1" applyFill="1" applyBorder="1"/>
    <xf numFmtId="187" fontId="28" fillId="0" borderId="12" xfId="2" applyNumberFormat="1" applyFont="1" applyBorder="1"/>
    <xf numFmtId="10" fontId="27" fillId="0" borderId="39" xfId="2" applyNumberFormat="1" applyFont="1" applyBorder="1" applyAlignment="1">
      <alignment horizontal="center"/>
    </xf>
    <xf numFmtId="10" fontId="27" fillId="0" borderId="11" xfId="2" applyNumberFormat="1" applyFont="1" applyBorder="1" applyAlignment="1">
      <alignment horizontal="center"/>
    </xf>
    <xf numFmtId="10" fontId="64" fillId="4" borderId="38" xfId="2" applyNumberFormat="1" applyFont="1" applyFill="1" applyBorder="1" applyAlignment="1">
      <alignment horizontal="center"/>
    </xf>
    <xf numFmtId="10" fontId="27" fillId="0" borderId="40" xfId="2" applyNumberFormat="1" applyFont="1" applyBorder="1" applyAlignment="1">
      <alignment horizontal="center"/>
    </xf>
    <xf numFmtId="177" fontId="18" fillId="5" borderId="9" xfId="2" applyNumberFormat="1" applyFont="1" applyFill="1" applyBorder="1"/>
    <xf numFmtId="177" fontId="18" fillId="5" borderId="11" xfId="2" applyNumberFormat="1" applyFont="1" applyFill="1" applyBorder="1"/>
    <xf numFmtId="177" fontId="18" fillId="5" borderId="12" xfId="2" applyNumberFormat="1" applyFont="1" applyFill="1" applyBorder="1"/>
    <xf numFmtId="0" fontId="68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8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68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center" vertical="center" wrapText="1"/>
    </xf>
    <xf numFmtId="3" fontId="28" fillId="0" borderId="0" xfId="2" applyNumberFormat="1" applyFont="1"/>
    <xf numFmtId="10" fontId="31" fillId="4" borderId="5" xfId="13" applyNumberFormat="1" applyFont="1" applyFill="1" applyBorder="1"/>
    <xf numFmtId="10" fontId="0" fillId="14" borderId="0" xfId="13" applyNumberFormat="1" applyFont="1" applyFill="1"/>
    <xf numFmtId="168" fontId="28" fillId="0" borderId="0" xfId="2" applyNumberFormat="1" applyFont="1"/>
    <xf numFmtId="2" fontId="25" fillId="2" borderId="7" xfId="0" applyNumberFormat="1" applyFont="1" applyFill="1" applyBorder="1" applyAlignment="1">
      <alignment horizontal="center"/>
    </xf>
    <xf numFmtId="201" fontId="22" fillId="0" borderId="0" xfId="0" applyNumberFormat="1" applyFont="1"/>
    <xf numFmtId="190" fontId="1" fillId="0" borderId="0" xfId="0" applyNumberFormat="1" applyFont="1"/>
    <xf numFmtId="173" fontId="25" fillId="2" borderId="7" xfId="0" applyNumberFormat="1" applyFont="1" applyFill="1" applyBorder="1" applyAlignment="1">
      <alignment horizontal="center"/>
    </xf>
    <xf numFmtId="0" fontId="69" fillId="0" borderId="0" xfId="0" applyFont="1" applyAlignment="1">
      <alignment horizontal="right"/>
    </xf>
    <xf numFmtId="175" fontId="25" fillId="0" borderId="0" xfId="0" applyNumberFormat="1" applyFont="1" applyAlignment="1">
      <alignment wrapText="1"/>
    </xf>
    <xf numFmtId="175" fontId="25" fillId="0" borderId="0" xfId="0" applyNumberFormat="1" applyFont="1" applyAlignment="1">
      <alignment horizontal="left" wrapText="1"/>
    </xf>
    <xf numFmtId="0" fontId="23" fillId="3" borderId="2" xfId="2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14" fillId="2" borderId="0" xfId="0" applyFont="1" applyFill="1" applyAlignment="1">
      <alignment horizontal="center"/>
    </xf>
    <xf numFmtId="0" fontId="68" fillId="14" borderId="0" xfId="0" applyFont="1" applyFill="1" applyAlignment="1">
      <alignment horizontal="center"/>
    </xf>
    <xf numFmtId="0" fontId="18" fillId="11" borderId="0" xfId="0" applyFont="1" applyFill="1"/>
    <xf numFmtId="0" fontId="68" fillId="14" borderId="0" xfId="0" applyFont="1" applyFill="1"/>
    <xf numFmtId="0" fontId="68" fillId="14" borderId="0" xfId="0" applyFont="1" applyFill="1" applyAlignment="1">
      <alignment horizontal="center" wrapText="1"/>
    </xf>
    <xf numFmtId="0" fontId="57" fillId="14" borderId="0" xfId="0" applyFont="1" applyFill="1" applyAlignment="1">
      <alignment horizontal="right"/>
    </xf>
    <xf numFmtId="9" fontId="0" fillId="14" borderId="0" xfId="0" applyNumberFormat="1" applyFill="1"/>
    <xf numFmtId="201" fontId="0" fillId="14" borderId="0" xfId="0" applyNumberFormat="1" applyFill="1"/>
    <xf numFmtId="201" fontId="68" fillId="14" borderId="0" xfId="0" applyNumberFormat="1" applyFont="1" applyFill="1"/>
    <xf numFmtId="201" fontId="14" fillId="2" borderId="0" xfId="0" applyNumberFormat="1" applyFont="1" applyFill="1" applyAlignment="1">
      <alignment horizontal="right"/>
    </xf>
    <xf numFmtId="0" fontId="68" fillId="14" borderId="0" xfId="0" applyFont="1" applyFill="1" applyAlignment="1">
      <alignment horizontal="left"/>
    </xf>
    <xf numFmtId="172" fontId="0" fillId="14" borderId="0" xfId="13" applyNumberFormat="1" applyFont="1" applyFill="1"/>
    <xf numFmtId="0" fontId="0" fillId="14" borderId="0" xfId="0" applyFill="1" applyAlignment="1">
      <alignment horizontal="left"/>
    </xf>
    <xf numFmtId="0" fontId="70" fillId="14" borderId="0" xfId="0" applyFont="1" applyFill="1"/>
    <xf numFmtId="172" fontId="14" fillId="2" borderId="0" xfId="13" applyNumberFormat="1" applyFont="1" applyFill="1" applyAlignment="1">
      <alignment horizontal="right"/>
    </xf>
    <xf numFmtId="0" fontId="71" fillId="14" borderId="0" xfId="0" applyFont="1" applyFill="1"/>
    <xf numFmtId="209" fontId="71" fillId="14" borderId="0" xfId="0" applyNumberFormat="1" applyFont="1" applyFill="1"/>
    <xf numFmtId="0" fontId="71" fillId="14" borderId="33" xfId="0" applyFont="1" applyFill="1" applyBorder="1"/>
    <xf numFmtId="0" fontId="71" fillId="14" borderId="34" xfId="0" applyFont="1" applyFill="1" applyBorder="1"/>
    <xf numFmtId="0" fontId="73" fillId="14" borderId="0" xfId="0" applyFont="1" applyFill="1"/>
    <xf numFmtId="0" fontId="73" fillId="14" borderId="33" xfId="0" applyFont="1" applyFill="1" applyBorder="1"/>
    <xf numFmtId="14" fontId="74" fillId="14" borderId="34" xfId="0" applyNumberFormat="1" applyFont="1" applyFill="1" applyBorder="1"/>
    <xf numFmtId="0" fontId="71" fillId="14" borderId="0" xfId="0" applyFont="1" applyFill="1" applyAlignment="1">
      <alignment horizontal="left" indent="1"/>
    </xf>
    <xf numFmtId="210" fontId="74" fillId="14" borderId="0" xfId="0" applyNumberFormat="1" applyFont="1" applyFill="1"/>
    <xf numFmtId="211" fontId="74" fillId="14" borderId="0" xfId="0" applyNumberFormat="1" applyFont="1" applyFill="1"/>
    <xf numFmtId="172" fontId="74" fillId="14" borderId="34" xfId="0" applyNumberFormat="1" applyFont="1" applyFill="1" applyBorder="1"/>
    <xf numFmtId="172" fontId="75" fillId="14" borderId="34" xfId="0" applyNumberFormat="1" applyFont="1" applyFill="1" applyBorder="1"/>
    <xf numFmtId="210" fontId="71" fillId="14" borderId="0" xfId="0" applyNumberFormat="1" applyFont="1" applyFill="1"/>
    <xf numFmtId="10" fontId="74" fillId="14" borderId="34" xfId="0" applyNumberFormat="1" applyFont="1" applyFill="1" applyBorder="1"/>
    <xf numFmtId="0" fontId="70" fillId="14" borderId="0" xfId="0" applyFont="1" applyFill="1" applyAlignment="1">
      <alignment horizontal="left" indent="1"/>
    </xf>
    <xf numFmtId="213" fontId="75" fillId="14" borderId="34" xfId="0" applyNumberFormat="1" applyFont="1" applyFill="1" applyBorder="1"/>
    <xf numFmtId="214" fontId="74" fillId="14" borderId="34" xfId="0" applyNumberFormat="1" applyFont="1" applyFill="1" applyBorder="1"/>
    <xf numFmtId="213" fontId="74" fillId="14" borderId="34" xfId="0" applyNumberFormat="1" applyFont="1" applyFill="1" applyBorder="1"/>
    <xf numFmtId="211" fontId="71" fillId="14" borderId="0" xfId="0" applyNumberFormat="1" applyFont="1" applyFill="1"/>
    <xf numFmtId="211" fontId="76" fillId="14" borderId="0" xfId="0" applyNumberFormat="1" applyFont="1" applyFill="1"/>
    <xf numFmtId="0" fontId="72" fillId="14" borderId="0" xfId="0" applyFont="1" applyFill="1" applyAlignment="1">
      <alignment horizontal="left" indent="1"/>
    </xf>
    <xf numFmtId="0" fontId="72" fillId="14" borderId="0" xfId="0" applyFont="1" applyFill="1"/>
    <xf numFmtId="211" fontId="75" fillId="14" borderId="0" xfId="0" applyNumberFormat="1" applyFont="1" applyFill="1"/>
    <xf numFmtId="212" fontId="76" fillId="14" borderId="0" xfId="0" applyNumberFormat="1" applyFont="1" applyFill="1"/>
    <xf numFmtId="213" fontId="75" fillId="14" borderId="0" xfId="0" applyNumberFormat="1" applyFont="1" applyFill="1"/>
    <xf numFmtId="213" fontId="76" fillId="14" borderId="0" xfId="0" applyNumberFormat="1" applyFont="1" applyFill="1"/>
    <xf numFmtId="213" fontId="75" fillId="14" borderId="36" xfId="0" applyNumberFormat="1" applyFont="1" applyFill="1" applyBorder="1"/>
    <xf numFmtId="213" fontId="77" fillId="14" borderId="0" xfId="0" applyNumberFormat="1" applyFont="1" applyFill="1"/>
    <xf numFmtId="0" fontId="78" fillId="11" borderId="41" xfId="0" applyFont="1" applyFill="1" applyBorder="1"/>
    <xf numFmtId="0" fontId="79" fillId="11" borderId="42" xfId="0" applyFont="1" applyFill="1" applyBorder="1"/>
    <xf numFmtId="0" fontId="78" fillId="11" borderId="43" xfId="0" applyFont="1" applyFill="1" applyBorder="1"/>
    <xf numFmtId="0" fontId="79" fillId="11" borderId="44" xfId="0" applyFont="1" applyFill="1" applyBorder="1"/>
    <xf numFmtId="0" fontId="78" fillId="11" borderId="0" xfId="0" applyFont="1" applyFill="1"/>
    <xf numFmtId="0" fontId="78" fillId="11" borderId="0" xfId="0" applyFont="1" applyFill="1" applyAlignment="1">
      <alignment wrapText="1"/>
    </xf>
    <xf numFmtId="0" fontId="78" fillId="11" borderId="0" xfId="0" applyFont="1" applyFill="1" applyAlignment="1">
      <alignment horizontal="left" indent="1"/>
    </xf>
    <xf numFmtId="0" fontId="79" fillId="11" borderId="0" xfId="0" applyFont="1" applyFill="1"/>
    <xf numFmtId="210" fontId="78" fillId="11" borderId="0" xfId="0" applyNumberFormat="1" applyFont="1" applyFill="1"/>
    <xf numFmtId="0" fontId="80" fillId="11" borderId="0" xfId="0" applyFont="1" applyFill="1" applyAlignment="1">
      <alignment horizontal="left" indent="1"/>
    </xf>
    <xf numFmtId="0" fontId="80" fillId="11" borderId="0" xfId="0" applyFont="1" applyFill="1"/>
    <xf numFmtId="210" fontId="80" fillId="11" borderId="0" xfId="0" applyNumberFormat="1" applyFont="1" applyFill="1"/>
    <xf numFmtId="0" fontId="81" fillId="11" borderId="0" xfId="0" applyFont="1" applyFill="1" applyAlignment="1">
      <alignment horizontal="left" indent="1"/>
    </xf>
    <xf numFmtId="0" fontId="81" fillId="11" borderId="0" xfId="0" applyFont="1" applyFill="1"/>
    <xf numFmtId="210" fontId="81" fillId="11" borderId="0" xfId="0" applyNumberFormat="1" applyFont="1" applyFill="1"/>
    <xf numFmtId="212" fontId="81" fillId="11" borderId="0" xfId="0" applyNumberFormat="1" applyFont="1" applyFill="1"/>
    <xf numFmtId="216" fontId="74" fillId="16" borderId="0" xfId="0" applyNumberFormat="1" applyFont="1" applyFill="1"/>
    <xf numFmtId="216" fontId="74" fillId="16" borderId="34" xfId="0" applyNumberFormat="1" applyFont="1" applyFill="1" applyBorder="1"/>
    <xf numFmtId="210" fontId="74" fillId="16" borderId="0" xfId="0" applyNumberFormat="1" applyFont="1" applyFill="1"/>
    <xf numFmtId="210" fontId="71" fillId="16" borderId="0" xfId="0" applyNumberFormat="1" applyFont="1" applyFill="1"/>
    <xf numFmtId="210" fontId="71" fillId="16" borderId="34" xfId="0" applyNumberFormat="1" applyFont="1" applyFill="1" applyBorder="1"/>
    <xf numFmtId="210" fontId="74" fillId="16" borderId="36" xfId="0" applyNumberFormat="1" applyFont="1" applyFill="1" applyBorder="1"/>
    <xf numFmtId="210" fontId="71" fillId="16" borderId="36" xfId="0" applyNumberFormat="1" applyFont="1" applyFill="1" applyBorder="1"/>
    <xf numFmtId="210" fontId="71" fillId="16" borderId="37" xfId="0" applyNumberFormat="1" applyFont="1" applyFill="1" applyBorder="1"/>
    <xf numFmtId="0" fontId="78" fillId="11" borderId="2" xfId="0" applyFont="1" applyFill="1" applyBorder="1"/>
    <xf numFmtId="0" fontId="78" fillId="11" borderId="45" xfId="0" applyFont="1" applyFill="1" applyBorder="1"/>
    <xf numFmtId="0" fontId="78" fillId="11" borderId="47" xfId="0" applyFont="1" applyFill="1" applyBorder="1"/>
    <xf numFmtId="0" fontId="78" fillId="11" borderId="47" xfId="0" applyFont="1" applyFill="1" applyBorder="1" applyAlignment="1">
      <alignment horizontal="right"/>
    </xf>
    <xf numFmtId="0" fontId="78" fillId="11" borderId="46" xfId="0" applyFont="1" applyFill="1" applyBorder="1"/>
    <xf numFmtId="210" fontId="82" fillId="16" borderId="0" xfId="0" applyNumberFormat="1" applyFont="1" applyFill="1"/>
    <xf numFmtId="213" fontId="74" fillId="14" borderId="0" xfId="0" applyNumberFormat="1" applyFont="1" applyFill="1"/>
    <xf numFmtId="214" fontId="74" fillId="14" borderId="0" xfId="0" applyNumberFormat="1" applyFont="1" applyFill="1"/>
    <xf numFmtId="215" fontId="75" fillId="14" borderId="0" xfId="0" applyNumberFormat="1" applyFont="1" applyFill="1"/>
    <xf numFmtId="0" fontId="73" fillId="14" borderId="48" xfId="0" applyFont="1" applyFill="1" applyBorder="1"/>
    <xf numFmtId="213" fontId="74" fillId="14" borderId="45" xfId="0" applyNumberFormat="1" applyFont="1" applyFill="1" applyBorder="1"/>
    <xf numFmtId="10" fontId="71" fillId="14" borderId="0" xfId="13" applyNumberFormat="1" applyFont="1" applyFill="1" applyBorder="1"/>
    <xf numFmtId="0" fontId="33" fillId="0" borderId="0" xfId="5" applyFont="1" applyAlignment="1">
      <alignment horizontal="left" vertical="top"/>
    </xf>
    <xf numFmtId="15" fontId="1" fillId="0" borderId="0" xfId="0" applyNumberFormat="1" applyFont="1" applyAlignment="1">
      <alignment horizontal="left"/>
    </xf>
    <xf numFmtId="0" fontId="18" fillId="3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/>
    </xf>
    <xf numFmtId="0" fontId="23" fillId="3" borderId="0" xfId="2" applyFont="1" applyFill="1" applyAlignment="1">
      <alignment horizontal="center" wrapText="1"/>
    </xf>
    <xf numFmtId="0" fontId="68" fillId="14" borderId="0" xfId="0" applyFont="1" applyFill="1" applyAlignment="1">
      <alignment horizontal="center"/>
    </xf>
    <xf numFmtId="0" fontId="68" fillId="14" borderId="0" xfId="0" applyFont="1" applyFill="1" applyAlignment="1">
      <alignment horizontal="left"/>
    </xf>
    <xf numFmtId="0" fontId="68" fillId="14" borderId="0" xfId="0" applyFont="1" applyFill="1" applyAlignment="1">
      <alignment horizontal="left" wrapText="1"/>
    </xf>
    <xf numFmtId="0" fontId="57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4" fillId="2" borderId="0" xfId="0" applyFont="1" applyFill="1" applyAlignment="1">
      <alignment horizontal="center"/>
    </xf>
    <xf numFmtId="0" fontId="24" fillId="3" borderId="0" xfId="2" applyFont="1" applyFill="1" applyAlignment="1">
      <alignment horizontal="center" vertical="center"/>
    </xf>
    <xf numFmtId="0" fontId="24" fillId="3" borderId="0" xfId="2" applyFont="1" applyFill="1" applyAlignment="1">
      <alignment horizontal="center"/>
    </xf>
    <xf numFmtId="173" fontId="43" fillId="10" borderId="8" xfId="0" applyNumberFormat="1" applyFont="1" applyFill="1" applyBorder="1"/>
    <xf numFmtId="190" fontId="18" fillId="10" borderId="14" xfId="0" applyNumberFormat="1" applyFont="1" applyFill="1" applyBorder="1" applyAlignment="1">
      <alignment horizontal="center"/>
    </xf>
    <xf numFmtId="198" fontId="18" fillId="10" borderId="14" xfId="0" applyNumberFormat="1" applyFont="1" applyFill="1" applyBorder="1" applyAlignment="1">
      <alignment horizontal="center"/>
    </xf>
    <xf numFmtId="0" fontId="1" fillId="0" borderId="0" xfId="11" applyFont="1" applyBorder="1"/>
    <xf numFmtId="165" fontId="1" fillId="0" borderId="0" xfId="11" applyNumberFormat="1" applyFont="1" applyBorder="1"/>
    <xf numFmtId="167" fontId="1" fillId="0" borderId="0" xfId="11" applyNumberFormat="1" applyFont="1" applyBorder="1"/>
    <xf numFmtId="167" fontId="20" fillId="0" borderId="0" xfId="11" applyNumberFormat="1" applyFont="1" applyBorder="1"/>
    <xf numFmtId="174" fontId="18" fillId="16" borderId="0" xfId="11" applyNumberFormat="1" applyFont="1" applyFill="1"/>
    <xf numFmtId="174" fontId="18" fillId="11" borderId="0" xfId="11" applyNumberFormat="1" applyFont="1" applyFill="1"/>
    <xf numFmtId="174" fontId="18" fillId="17" borderId="0" xfId="11" applyNumberFormat="1" applyFont="1" applyFill="1"/>
    <xf numFmtId="0" fontId="20" fillId="0" borderId="0" xfId="11" applyFont="1"/>
    <xf numFmtId="0" fontId="23" fillId="3" borderId="2" xfId="2" applyFont="1" applyFill="1" applyBorder="1" applyAlignment="1">
      <alignment horizontal="center" wrapText="1"/>
    </xf>
  </cellXfs>
  <cellStyles count="14">
    <cellStyle name="Comma" xfId="12" builtinId="3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3 2" xfId="7" xr:uid="{00000000-0005-0000-0000-000004000000}"/>
    <cellStyle name="Normal 3 3" xfId="9" xr:uid="{00000000-0005-0000-0000-000005000000}"/>
    <cellStyle name="Normal 3 4" xfId="10" xr:uid="{00000000-0005-0000-0000-000006000000}"/>
    <cellStyle name="Normal 4" xfId="4" xr:uid="{00000000-0005-0000-0000-000007000000}"/>
    <cellStyle name="Normal 4 2" xfId="8" xr:uid="{00000000-0005-0000-0000-000008000000}"/>
    <cellStyle name="Normal 5" xfId="6" xr:uid="{00000000-0005-0000-0000-000009000000}"/>
    <cellStyle name="Normal 5 2" xfId="11" xr:uid="{00000000-0005-0000-0000-00000A000000}"/>
    <cellStyle name="Note" xfId="1" builtinId="10" customBuiltin="1"/>
    <cellStyle name="Percent" xfId="13" builtinId="5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4F81BD"/>
      <color rgb="FF1F497D"/>
      <color rgb="FF0000FF"/>
      <color rgb="FFFFFF99"/>
      <color rgb="FFD9D9D9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Jazz Pharmaceuticals Valuation - Range</a:t>
            </a:r>
            <a:r>
              <a:rPr lang="en-US" b="1" baseline="0">
                <a:solidFill>
                  <a:sysClr val="windowText" lastClr="000000"/>
                </a:solidFill>
              </a:rPr>
              <a:t> of Implied Share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ValGraph!$N$33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8.50% - 12.50% WACC, 1.00% - 3.00%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ValGraph!$N$34:$N$41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205.25973882895633</c:v>
                </c:pt>
                <c:pt idx="2" formatCode="_(&quot;$&quot;* #,##0.00_);_(&quot;$&quot;* \(#,##0.00\);_(&quot;$&quot;* &quot;-&quot;??_);_(@_)">
                  <c:v>-5.0729122023481024</c:v>
                </c:pt>
                <c:pt idx="3" formatCode="_(&quot;$&quot;* #,##0.00_);_(&quot;$&quot;* \(#,##0.00\);_(&quot;$&quot;* &quot;-&quot;??_);_(@_)">
                  <c:v>100.80315135234086</c:v>
                </c:pt>
                <c:pt idx="5" formatCode="_(&quot;$&quot;* #,##0.00_);_(&quot;$&quot;* \(#,##0.00\);_(&quot;$&quot;* &quot;-&quot;??_);_(@_)">
                  <c:v>0</c:v>
                </c:pt>
                <c:pt idx="6" formatCode="_(&quot;$&quot;* #,##0.00_);_(&quot;$&quot;* \(#,##0.00\);_(&quot;$&quot;* &quot;-&quot;??_);_(@_)">
                  <c:v>96.939364682062418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A-48EA-970E-AD0A5D4B76E1}"/>
            </c:ext>
          </c:extLst>
        </c:ser>
        <c:ser>
          <c:idx val="1"/>
          <c:order val="1"/>
          <c:tx>
            <c:strRef>
              <c:f>ValGraph!$O$33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8.50% - 12.50% WACC, 1.00% - 3.00%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ValGraph!$O$34:$O$41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9.2332722960566116</c:v>
                </c:pt>
                <c:pt idx="2" formatCode="_(&quot;$&quot;* #,##0.00_);_(&quot;$&quot;* \(#,##0.00\);_(&quot;$&quot;* &quot;-&quot;??_);_(@_)">
                  <c:v>100.84637360727761</c:v>
                </c:pt>
                <c:pt idx="3" formatCode="_(&quot;$&quot;* #,##0.00_);_(&quot;$&quot;* \(#,##0.00\);_(&quot;$&quot;* &quot;-&quot;??_);_(@_)">
                  <c:v>13.220420470952646</c:v>
                </c:pt>
                <c:pt idx="5" formatCode="_(&quot;$&quot;* #,##0.00_);_(&quot;$&quot;* \(#,##0.00\);_(&quot;$&quot;* &quot;-&quot;??_);_(@_)">
                  <c:v>118.82678394734231</c:v>
                </c:pt>
                <c:pt idx="6" formatCode="_(&quot;$&quot;* #,##0.00_);_(&quot;$&quot;* \(#,##0.00\);_(&quot;$&quot;* &quot;-&quot;??_);_(@_)">
                  <c:v>12.15257264243354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FA-48EA-970E-AD0A5D4B76E1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8.50% - 12.50% WACC, 1.00% - 3.00%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ValGraph!$P$34:$P$41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10.335224925367498</c:v>
                </c:pt>
                <c:pt idx="2" formatCode="_(&quot;$&quot;* #,##0.00_);_(&quot;$&quot;* \(#,##0.00\);_(&quot;$&quot;* &quot;-&quot;??_);_(@_)">
                  <c:v>19.413467966292217</c:v>
                </c:pt>
                <c:pt idx="3" formatCode="_(&quot;$&quot;* #,##0.00_);_(&quot;$&quot;* \(#,##0.00\);_(&quot;$&quot;* &quot;-&quot;??_);_(@_)">
                  <c:v>26.195673854716915</c:v>
                </c:pt>
                <c:pt idx="5" formatCode="_(&quot;$&quot;* #,##0.00_);_(&quot;$&quot;* \(#,##0.00\);_(&quot;$&quot;* &quot;-&quot;??_);_(@_)">
                  <c:v>50.004235985098546</c:v>
                </c:pt>
                <c:pt idx="6" formatCode="_(&quot;$&quot;* #,##0.00_);_(&quot;$&quot;* \(#,##0.00\);_(&quot;$&quot;* &quot;-&quot;??_);_(@_)">
                  <c:v>66.409192116776111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FA-48EA-970E-AD0A5D4B76E1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8.50% - 12.50% WACC, 1.00% - 3.00%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ValGraph!$Q$34:$Q$41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11.64787698497679</c:v>
                </c:pt>
                <c:pt idx="2" formatCode="_(&quot;$&quot;* #,##0.00_);_(&quot;$&quot;* \(#,##0.00\);_(&quot;$&quot;* &quot;-&quot;??_);_(@_)">
                  <c:v>7.4445558747045197</c:v>
                </c:pt>
                <c:pt idx="3" formatCode="_(&quot;$&quot;* #,##0.00_);_(&quot;$&quot;* \(#,##0.00\);_(&quot;$&quot;* &quot;-&quot;??_);_(@_)">
                  <c:v>61.65054544687996</c:v>
                </c:pt>
                <c:pt idx="5" formatCode="_(&quot;$&quot;* #,##0.00_);_(&quot;$&quot;* \(#,##0.00\);_(&quot;$&quot;* &quot;-&quot;??_);_(@_)">
                  <c:v>23.702237774287426</c:v>
                </c:pt>
                <c:pt idx="6" formatCode="_(&quot;$&quot;* #,##0.00_);_(&quot;$&quot;* \(#,##0.00\);_(&quot;$&quot;* &quot;-&quot;??_);_(@_)">
                  <c:v>111.53246561767511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FA-48EA-970E-AD0A5D4B7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117512"/>
        <c:axId val="127117120"/>
      </c:barChart>
      <c:catAx>
        <c:axId val="127117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7120"/>
        <c:crosses val="autoZero"/>
        <c:auto val="1"/>
        <c:lblAlgn val="ctr"/>
        <c:lblOffset val="100"/>
        <c:noMultiLvlLbl val="0"/>
      </c:catAx>
      <c:valAx>
        <c:axId val="12711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Implied</a:t>
                </a:r>
                <a:r>
                  <a:rPr lang="en-US" sz="1400" b="1" baseline="0">
                    <a:solidFill>
                      <a:sysClr val="windowText" lastClr="000000"/>
                    </a:solidFill>
                  </a:rPr>
                  <a:t> Share Price</a:t>
                </a:r>
                <a:endParaRPr lang="en-US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252267</xdr:colOff>
      <xdr:row>1</xdr:row>
      <xdr:rowOff>95220</xdr:rowOff>
    </xdr:from>
    <xdr:to>
      <xdr:col>22</xdr:col>
      <xdr:colOff>553223</xdr:colOff>
      <xdr:row>24</xdr:row>
      <xdr:rowOff>46182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482888</xdr:colOff>
      <xdr:row>11</xdr:row>
      <xdr:rowOff>132139</xdr:rowOff>
    </xdr:from>
    <xdr:to>
      <xdr:col>7</xdr:col>
      <xdr:colOff>420023</xdr:colOff>
      <xdr:row>13</xdr:row>
      <xdr:rowOff>16400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49706" y="2291139"/>
          <a:ext cx="2119226" cy="27680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chemeClr val="tx2"/>
              </a:solidFill>
            </a:rPr>
            <a:t>Precedent Transactions: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0.12858</cdr:x>
      <cdr:y>0.15008</cdr:y>
    </cdr:from>
    <cdr:to>
      <cdr:x>0.34856</cdr:x>
      <cdr:y>0.21223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2689" y="670147"/>
          <a:ext cx="3426319" cy="277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Public Company Comparables:</a:t>
          </a:r>
        </a:p>
      </cdr:txBody>
    </cdr:sp>
  </cdr:relSizeAnchor>
  <cdr:relSizeAnchor xmlns:cdr="http://schemas.openxmlformats.org/drawingml/2006/chartDrawing">
    <cdr:from>
      <cdr:x>0.12212</cdr:x>
      <cdr:y>0.72583</cdr:y>
    </cdr:from>
    <cdr:to>
      <cdr:x>0.34941</cdr:x>
      <cdr:y>0.78798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902032" y="3240993"/>
          <a:ext cx="3540176" cy="277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Discounted Cash Flow Analysis: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63175658b1e939/RwitobanDas_ProjectTraining_HDFCBank/Financial%20Modelling/lbo.xlsx" TargetMode="External"/><Relationship Id="rId1" Type="http://schemas.openxmlformats.org/officeDocument/2006/relationships/externalLinkPath" Target="/1f63175658b1e939/RwitobanDas_ProjectTraining_HDFCBank/Financial%20Modelling/l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ZZ-DCF"/>
      <sheetName val="H1-Results"/>
      <sheetName val="WACC"/>
      <sheetName val="ValGraph"/>
      <sheetName val="ValSum"/>
      <sheetName val="Public Comps"/>
      <sheetName val="Public-Comps-Data"/>
      <sheetName val="MA-Comps"/>
      <sheetName val="Inputs"/>
    </sheetNames>
    <sheetDataSet>
      <sheetData sheetId="0">
        <row r="3">
          <cell r="B3" t="str">
            <v>($ in Millions Except Per Share and Per Unit Data)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witoban Das" id="{7EA4F831-F103-4BD0-A77A-222D0CA553D7}" userId="1f63175658b1e93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5" dT="2025-12-12T11:32:34.69" personId="{7EA4F831-F103-4BD0-A77A-222D0CA553D7}" id="{7DD404DE-35B9-41AC-965E-038AC93C5578}">
    <text>As per latest 10-Q filing</text>
  </threadedComment>
  <threadedComment ref="I134" dT="2025-10-28T16:49:36.54" personId="{7EA4F831-F103-4BD0-A77A-222D0CA553D7}" id="{A7673C48-C359-440A-9567-8A3D85339281}">
    <text>Pro-forma statements</text>
  </threadedComment>
  <threadedComment ref="I137" dT="2025-10-28T16:47:51.57" personId="{7EA4F831-F103-4BD0-A77A-222D0CA553D7}" id="{7A7BA75D-962B-42D1-9AF4-CF86CF9F63FB}">
    <text>Pro-forma statements, excluding amortisation</text>
  </threadedComment>
  <threadedComment ref="I143" dT="2025-10-28T16:50:50.57" personId="{7EA4F831-F103-4BD0-A77A-222D0CA553D7}" id="{784A8347-65F4-40F6-8DD5-37B6205D88FE}">
    <text>Pro-forma statements, excluding pro-forma allocation of amortisation and transaction fees</text>
  </threadedComment>
  <threadedComment ref="I144" dT="2025-10-28T16:51:00.78" personId="{7EA4F831-F103-4BD0-A77A-222D0CA553D7}" id="{ACD9F41A-C7AE-4F89-BBD3-86D1DE97C49E}">
    <text>Pro-forma statements</text>
  </threadedComment>
  <threadedComment ref="I146" dT="2025-10-28T17:34:16.30" personId="{7EA4F831-F103-4BD0-A77A-222D0CA553D7}" id="{EAD809F7-71A1-43E8-A686-2974A1922B19}">
    <text>Inclusive of bluehalo merger integration and inventory fair value adjustment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Q223"/>
  <sheetViews>
    <sheetView showGridLines="0" topLeftCell="A209" zoomScale="86" zoomScaleNormal="115" workbookViewId="0">
      <selection activeCell="D14" sqref="D14"/>
    </sheetView>
  </sheetViews>
  <sheetFormatPr defaultColWidth="8.88671875" defaultRowHeight="15.6" outlineLevelRow="2" outlineLevelCol="1"/>
  <cols>
    <col min="1" max="2" width="2.6640625" style="5" customWidth="1"/>
    <col min="3" max="3" width="47.6640625" style="5" bestFit="1" customWidth="1"/>
    <col min="4" max="5" width="12.6640625" style="6" customWidth="1"/>
    <col min="6" max="6" width="14.88671875" style="6" customWidth="1" outlineLevel="1"/>
    <col min="7" max="7" width="16.21875" style="6" bestFit="1" customWidth="1" outlineLevel="1"/>
    <col min="8" max="9" width="14.88671875" style="5" customWidth="1" outlineLevel="1"/>
    <col min="10" max="10" width="14.5546875" style="5" bestFit="1" customWidth="1"/>
    <col min="11" max="13" width="14.109375" style="5" customWidth="1"/>
    <col min="14" max="14" width="16.109375" style="5" bestFit="1" customWidth="1"/>
    <col min="15" max="15" width="8.88671875" style="5" customWidth="1"/>
    <col min="16" max="16" width="8.88671875" style="5"/>
    <col min="17" max="17" width="10" style="5" bestFit="1" customWidth="1"/>
    <col min="18" max="16384" width="8.88671875" style="5"/>
  </cols>
  <sheetData>
    <row r="1" spans="2:17" ht="15.75" customHeight="1">
      <c r="B1" s="292"/>
      <c r="C1" s="292"/>
      <c r="H1" s="292"/>
      <c r="I1" s="292"/>
      <c r="J1" s="292"/>
      <c r="K1" s="292"/>
      <c r="L1" s="292"/>
      <c r="M1" s="292"/>
      <c r="N1" s="292"/>
      <c r="O1" s="292"/>
      <c r="P1" s="292"/>
      <c r="Q1" s="292"/>
    </row>
    <row r="2" spans="2:17" ht="15.75" customHeight="1">
      <c r="B2" s="1" t="str">
        <f>Company_Name&amp;" - Operating Model and DCF Analysis - "&amp;Scenario&amp;" Case"</f>
        <v>AeroVironment, Inc.  - Operating Model and DCF Analysis - Base Case</v>
      </c>
      <c r="C2" s="292"/>
      <c r="H2" s="292"/>
      <c r="I2" s="292"/>
      <c r="J2" s="292"/>
      <c r="K2" s="292"/>
      <c r="L2" s="292"/>
      <c r="M2" s="292"/>
      <c r="N2" s="292"/>
      <c r="O2" s="292"/>
      <c r="P2" s="292"/>
      <c r="Q2" s="292"/>
    </row>
    <row r="3" spans="2:17" ht="15.75" customHeight="1">
      <c r="B3" s="292" t="s">
        <v>0</v>
      </c>
      <c r="C3" s="292"/>
      <c r="H3" s="292"/>
      <c r="I3" s="292"/>
      <c r="J3" s="292"/>
      <c r="K3" s="292"/>
      <c r="L3" s="292"/>
      <c r="M3" s="292"/>
      <c r="N3" s="292"/>
      <c r="O3" s="292"/>
      <c r="P3" s="292"/>
      <c r="Q3" s="292"/>
    </row>
    <row r="4" spans="2:17" ht="15.75" customHeight="1">
      <c r="B4" s="292"/>
      <c r="C4" s="292"/>
      <c r="H4" s="292"/>
      <c r="I4" s="292"/>
      <c r="J4" s="292"/>
      <c r="K4" s="292"/>
      <c r="L4" s="292"/>
      <c r="M4" s="292"/>
      <c r="N4" s="292"/>
      <c r="O4" s="292"/>
      <c r="P4" s="292"/>
      <c r="Q4" s="292"/>
    </row>
    <row r="5" spans="2:17" ht="15.75" customHeight="1">
      <c r="B5" s="7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92"/>
      <c r="P5" s="292"/>
      <c r="Q5" s="311" t="s">
        <v>2</v>
      </c>
    </row>
    <row r="6" spans="2:17" ht="15.75" customHeight="1" outlineLevel="1">
      <c r="B6" s="4"/>
      <c r="C6" s="292"/>
      <c r="H6" s="292"/>
      <c r="I6" s="292"/>
      <c r="J6" s="6"/>
      <c r="K6" s="292"/>
      <c r="L6" s="292"/>
      <c r="M6" s="292"/>
      <c r="N6" s="292"/>
      <c r="O6" s="292"/>
      <c r="P6" s="292"/>
      <c r="Q6" s="311" t="s">
        <v>3</v>
      </c>
    </row>
    <row r="7" spans="2:17" ht="15.75" customHeight="1" outlineLevel="1">
      <c r="B7" s="292"/>
      <c r="C7" s="292" t="s">
        <v>4</v>
      </c>
      <c r="D7" s="9" t="s">
        <v>5</v>
      </c>
      <c r="E7" s="284"/>
      <c r="F7" s="285"/>
      <c r="H7" s="292" t="s">
        <v>6</v>
      </c>
      <c r="I7" s="292"/>
      <c r="J7" s="313"/>
      <c r="K7" s="15">
        <v>45777</v>
      </c>
      <c r="L7" s="292"/>
      <c r="M7" s="292"/>
      <c r="N7" s="11"/>
      <c r="O7" s="292"/>
      <c r="P7" s="292"/>
      <c r="Q7" s="311" t="s">
        <v>7</v>
      </c>
    </row>
    <row r="8" spans="2:17" ht="15.75" customHeight="1" outlineLevel="1">
      <c r="B8" s="292"/>
      <c r="C8" s="292" t="s">
        <v>8</v>
      </c>
      <c r="D8" s="282" t="s">
        <v>9</v>
      </c>
      <c r="E8" s="283"/>
      <c r="H8" s="292" t="s">
        <v>10</v>
      </c>
      <c r="I8" s="292"/>
      <c r="J8" s="13"/>
      <c r="K8" s="17">
        <f>EOMONTH(Hist_Year,12)</f>
        <v>46142</v>
      </c>
      <c r="L8" s="292"/>
      <c r="M8" s="292"/>
      <c r="N8" s="313"/>
      <c r="O8" s="292"/>
      <c r="P8" s="292"/>
      <c r="Q8" s="292"/>
    </row>
    <row r="9" spans="2:17" ht="15.75" customHeight="1" outlineLevel="1">
      <c r="B9" s="292"/>
      <c r="C9" s="292" t="s">
        <v>11</v>
      </c>
      <c r="D9" s="12">
        <v>1000</v>
      </c>
      <c r="E9" s="283"/>
      <c r="G9" s="292"/>
      <c r="H9" s="292" t="s">
        <v>12</v>
      </c>
      <c r="I9" s="292"/>
      <c r="J9" s="16"/>
      <c r="K9" s="15">
        <v>45962</v>
      </c>
      <c r="L9" s="292"/>
      <c r="M9" s="292"/>
      <c r="N9" s="11"/>
      <c r="O9" s="292"/>
      <c r="P9" s="292"/>
      <c r="Q9" s="292"/>
    </row>
    <row r="10" spans="2:17" ht="15.75" customHeight="1" outlineLevel="1">
      <c r="B10" s="292"/>
      <c r="C10" s="292"/>
      <c r="E10" s="283"/>
      <c r="G10" s="292"/>
      <c r="H10" s="292"/>
      <c r="I10" s="292"/>
      <c r="J10" s="292"/>
      <c r="K10" s="292"/>
      <c r="L10" s="292"/>
      <c r="M10" s="292"/>
      <c r="N10" s="14"/>
      <c r="O10" s="292"/>
      <c r="P10" s="292"/>
      <c r="Q10" s="292"/>
    </row>
    <row r="11" spans="2:17" ht="15.75" customHeight="1" outlineLevel="1">
      <c r="B11" s="292"/>
      <c r="C11" s="292" t="s">
        <v>13</v>
      </c>
      <c r="D11" s="18">
        <v>369.91</v>
      </c>
      <c r="E11" s="283"/>
      <c r="G11" s="292"/>
      <c r="H11" s="292"/>
      <c r="I11" s="292"/>
      <c r="J11" s="292"/>
      <c r="K11" s="292"/>
      <c r="L11" s="292"/>
      <c r="M11" s="292"/>
      <c r="N11" s="14"/>
      <c r="O11" s="292"/>
      <c r="P11" s="292"/>
      <c r="Q11" s="292"/>
    </row>
    <row r="12" spans="2:17" ht="15.75" customHeight="1" outlineLevel="1">
      <c r="B12" s="292"/>
      <c r="C12" s="292" t="s">
        <v>14</v>
      </c>
      <c r="D12" s="10">
        <v>0.16655</v>
      </c>
      <c r="E12" s="283"/>
      <c r="F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</row>
    <row r="13" spans="2:17" ht="15.75" customHeight="1" outlineLevel="1">
      <c r="B13" s="292"/>
      <c r="C13" s="292"/>
      <c r="D13" s="19"/>
      <c r="E13" s="283"/>
      <c r="F13" s="314"/>
      <c r="H13" s="292"/>
      <c r="I13" s="292"/>
      <c r="J13" s="292"/>
      <c r="K13" s="292"/>
      <c r="L13" s="292"/>
      <c r="M13" s="292"/>
      <c r="N13" s="292"/>
      <c r="O13" s="292"/>
      <c r="P13" s="292"/>
      <c r="Q13" s="292"/>
    </row>
    <row r="14" spans="2:17" ht="15.75" customHeight="1" outlineLevel="1">
      <c r="B14" s="292"/>
      <c r="C14" s="292" t="s">
        <v>15</v>
      </c>
      <c r="D14" s="249" t="s">
        <v>2</v>
      </c>
      <c r="E14" s="283"/>
      <c r="F14" s="314"/>
      <c r="H14" s="292"/>
      <c r="I14" s="292"/>
      <c r="J14" s="292"/>
      <c r="K14" s="292"/>
      <c r="L14" s="292"/>
      <c r="M14" s="292"/>
      <c r="N14" s="292"/>
      <c r="O14" s="292"/>
      <c r="P14" s="292"/>
      <c r="Q14" s="292"/>
    </row>
    <row r="15" spans="2:17" ht="15.75" customHeight="1" outlineLevel="1">
      <c r="B15" s="292"/>
      <c r="C15" s="292"/>
      <c r="D15" s="19"/>
      <c r="E15" s="283"/>
      <c r="F15" s="314"/>
      <c r="H15" s="292"/>
      <c r="I15" s="292"/>
      <c r="J15" s="292"/>
      <c r="K15" s="292"/>
      <c r="L15" s="292"/>
      <c r="M15" s="292"/>
      <c r="N15" s="292"/>
      <c r="O15" s="292"/>
      <c r="P15" s="292"/>
      <c r="Q15" s="292"/>
    </row>
    <row r="16" spans="2:17" ht="15.75" customHeight="1">
      <c r="B16" s="292"/>
      <c r="C16" s="292"/>
      <c r="F16" s="286"/>
      <c r="H16" s="292"/>
      <c r="I16" s="292"/>
      <c r="J16" s="292"/>
      <c r="K16" s="292"/>
      <c r="L16" s="292"/>
      <c r="M16" s="292"/>
      <c r="N16" s="292"/>
      <c r="O16" s="292"/>
      <c r="P16" s="292"/>
      <c r="Q16" s="292"/>
    </row>
    <row r="17" spans="1:17" ht="15.75" customHeight="1">
      <c r="A17" s="292"/>
      <c r="B17" s="20"/>
      <c r="C17" s="20"/>
      <c r="D17" s="21"/>
      <c r="E17" s="21"/>
      <c r="F17" s="22" t="s">
        <v>16</v>
      </c>
      <c r="G17" s="23"/>
      <c r="H17" s="22"/>
      <c r="I17" s="24"/>
      <c r="J17" s="22" t="s">
        <v>17</v>
      </c>
      <c r="K17" s="22"/>
      <c r="L17" s="22"/>
      <c r="M17" s="22"/>
      <c r="N17" s="22"/>
      <c r="O17" s="292"/>
      <c r="P17" s="292"/>
      <c r="Q17" s="292"/>
    </row>
    <row r="18" spans="1:17" ht="15.75" customHeight="1">
      <c r="A18" s="315"/>
      <c r="B18" s="25" t="s">
        <v>18</v>
      </c>
      <c r="C18" s="25"/>
      <c r="D18" s="254" t="s">
        <v>19</v>
      </c>
      <c r="E18" s="287">
        <f t="shared" ref="E18:G18" si="0">EOMONTH(F18,-12)</f>
        <v>44316</v>
      </c>
      <c r="F18" s="26">
        <f t="shared" si="0"/>
        <v>44681</v>
      </c>
      <c r="G18" s="26">
        <f t="shared" si="0"/>
        <v>45046</v>
      </c>
      <c r="H18" s="26">
        <f>EOMONTH(I18,-12)</f>
        <v>45412</v>
      </c>
      <c r="I18" s="27">
        <f>Hist_Year</f>
        <v>45777</v>
      </c>
      <c r="J18" s="26">
        <f>EOMONTH(I18,12)</f>
        <v>46142</v>
      </c>
      <c r="K18" s="26">
        <f t="shared" ref="K18:N18" si="1">EOMONTH(J18,12)</f>
        <v>46507</v>
      </c>
      <c r="L18" s="26">
        <f t="shared" si="1"/>
        <v>46873</v>
      </c>
      <c r="M18" s="26">
        <f t="shared" si="1"/>
        <v>47238</v>
      </c>
      <c r="N18" s="26">
        <f t="shared" si="1"/>
        <v>47603</v>
      </c>
      <c r="O18" s="292"/>
      <c r="P18" s="292"/>
      <c r="Q18" s="369"/>
    </row>
    <row r="19" spans="1:17" ht="15.75" customHeight="1" outlineLevel="1">
      <c r="A19" s="315"/>
      <c r="B19" s="292"/>
      <c r="C19" s="292"/>
      <c r="F19" s="316"/>
      <c r="G19" s="316"/>
      <c r="H19" s="316"/>
      <c r="I19" s="316"/>
      <c r="J19" s="316"/>
      <c r="K19" s="316"/>
      <c r="L19" s="316"/>
      <c r="M19" s="316"/>
      <c r="N19" s="317"/>
      <c r="O19" s="292"/>
      <c r="P19" s="292"/>
      <c r="Q19" s="292"/>
    </row>
    <row r="20" spans="1:17" ht="15.75" customHeight="1" outlineLevel="1">
      <c r="A20" s="315"/>
      <c r="B20" s="292"/>
      <c r="C20" s="28" t="s">
        <v>20</v>
      </c>
      <c r="D20" s="255"/>
      <c r="E20" s="29">
        <f>$E$18</f>
        <v>44316</v>
      </c>
      <c r="F20" s="29">
        <f>$F$18</f>
        <v>44681</v>
      </c>
      <c r="G20" s="29">
        <f>$G$18</f>
        <v>45046</v>
      </c>
      <c r="H20" s="29">
        <f>$H$18</f>
        <v>45412</v>
      </c>
      <c r="I20" s="30">
        <f>$I$18</f>
        <v>45777</v>
      </c>
      <c r="J20" s="29">
        <f>$J$18</f>
        <v>46142</v>
      </c>
      <c r="K20" s="29">
        <f>$K$18</f>
        <v>46507</v>
      </c>
      <c r="L20" s="29">
        <f>$L$18</f>
        <v>46873</v>
      </c>
      <c r="M20" s="29">
        <f>$M$18</f>
        <v>47238</v>
      </c>
      <c r="N20" s="29">
        <f>$N$18</f>
        <v>47603</v>
      </c>
      <c r="O20" s="292"/>
      <c r="P20" s="292"/>
      <c r="Q20" s="292"/>
    </row>
    <row r="21" spans="1:17" ht="15.75" customHeight="1" outlineLevel="1">
      <c r="A21" s="315"/>
      <c r="B21" s="292"/>
      <c r="C21" s="4"/>
      <c r="F21" s="316"/>
      <c r="G21" s="316"/>
      <c r="H21" s="316"/>
      <c r="I21" s="316"/>
      <c r="J21" s="316"/>
      <c r="K21" s="316"/>
      <c r="L21" s="316"/>
      <c r="M21" s="316"/>
      <c r="N21" s="316"/>
      <c r="O21" s="292"/>
      <c r="P21" s="292"/>
      <c r="Q21" s="292"/>
    </row>
    <row r="22" spans="1:17" ht="15.75" customHeight="1" outlineLevel="1">
      <c r="A22" s="315"/>
      <c r="B22" s="292"/>
      <c r="C22" s="292" t="s">
        <v>21</v>
      </c>
      <c r="D22" s="256" t="s">
        <v>22</v>
      </c>
      <c r="E22" s="377">
        <f>87268</f>
        <v>87268</v>
      </c>
      <c r="F22" s="377">
        <f>76415</f>
        <v>76415</v>
      </c>
      <c r="G22" s="377">
        <v>120624</v>
      </c>
      <c r="H22" s="377">
        <v>192587</v>
      </c>
      <c r="I22" s="378">
        <v>351977</v>
      </c>
      <c r="J22" s="379">
        <f>I22*(1+J23)</f>
        <v>1055931</v>
      </c>
      <c r="K22" s="379">
        <f t="shared" ref="K22:N22" si="2">J22*(1+K23)</f>
        <v>1478303.4</v>
      </c>
      <c r="L22" s="379">
        <f t="shared" si="2"/>
        <v>1921794.42</v>
      </c>
      <c r="M22" s="379">
        <f t="shared" si="2"/>
        <v>2306153.304</v>
      </c>
      <c r="N22" s="379">
        <f t="shared" si="2"/>
        <v>2652076.2996</v>
      </c>
      <c r="O22" s="292"/>
      <c r="P22" s="292"/>
      <c r="Q22" s="292"/>
    </row>
    <row r="23" spans="1:17" ht="15.75" customHeight="1" outlineLevel="1">
      <c r="A23" s="315"/>
      <c r="B23" s="292"/>
      <c r="C23" s="312" t="s">
        <v>23</v>
      </c>
      <c r="D23" s="256" t="s">
        <v>24</v>
      </c>
      <c r="E23" s="292"/>
      <c r="F23" s="55">
        <f>F22/E22 - 1</f>
        <v>-0.12436402805151947</v>
      </c>
      <c r="G23" s="55">
        <f t="shared" ref="G23:I23" si="3">G22/F22 - 1</f>
        <v>0.57853824510894447</v>
      </c>
      <c r="H23" s="55">
        <f t="shared" si="3"/>
        <v>0.59658940177742403</v>
      </c>
      <c r="I23" s="55">
        <f t="shared" si="3"/>
        <v>0.82762595606141631</v>
      </c>
      <c r="J23" s="55">
        <f>INDEX(J24:J26, MATCH(Scenario, $C24:$C26, 0))</f>
        <v>2</v>
      </c>
      <c r="K23" s="55">
        <f>INDEX(K24:K26, MATCH(Scenario, $C24:$C26, 0))</f>
        <v>0.4</v>
      </c>
      <c r="L23" s="55">
        <f>INDEX(L24:L26, MATCH(Scenario, $C24:$C26, 0))</f>
        <v>0.3</v>
      </c>
      <c r="M23" s="55">
        <f>INDEX(M24:M26, MATCH(Scenario, $C24:$C26, 0))</f>
        <v>0.2</v>
      </c>
      <c r="N23" s="55">
        <f>INDEX(N24:N26, MATCH(Scenario, $C24:$C26, 0))</f>
        <v>0.15</v>
      </c>
      <c r="O23" s="292"/>
      <c r="P23" s="292"/>
      <c r="Q23" s="292"/>
    </row>
    <row r="24" spans="1:17" ht="15.75" customHeight="1" outlineLevel="1">
      <c r="A24" s="315"/>
      <c r="B24" s="292"/>
      <c r="C24" s="292" t="s">
        <v>2</v>
      </c>
      <c r="D24" s="256" t="s">
        <v>24</v>
      </c>
      <c r="E24" s="292"/>
      <c r="F24" s="292"/>
      <c r="G24" s="292"/>
      <c r="H24" s="292"/>
      <c r="I24" s="318"/>
      <c r="J24" s="10">
        <v>2</v>
      </c>
      <c r="K24" s="10">
        <v>0.4</v>
      </c>
      <c r="L24" s="10">
        <v>0.3</v>
      </c>
      <c r="M24" s="10">
        <v>0.2</v>
      </c>
      <c r="N24" s="10">
        <v>0.15</v>
      </c>
      <c r="O24" s="292"/>
      <c r="P24" s="292"/>
      <c r="Q24" s="292"/>
    </row>
    <row r="25" spans="1:17" ht="15.75" customHeight="1" outlineLevel="1">
      <c r="A25" s="315"/>
      <c r="B25" s="292"/>
      <c r="C25" s="292" t="s">
        <v>3</v>
      </c>
      <c r="D25" s="256" t="s">
        <v>24</v>
      </c>
      <c r="E25" s="292"/>
      <c r="F25" s="292"/>
      <c r="G25" s="292"/>
      <c r="H25" s="292"/>
      <c r="I25" s="318"/>
      <c r="J25" s="10">
        <v>2.5</v>
      </c>
      <c r="K25" s="10">
        <v>0.5</v>
      </c>
      <c r="L25" s="10">
        <v>0.4</v>
      </c>
      <c r="M25" s="10">
        <v>0.3</v>
      </c>
      <c r="N25" s="10">
        <v>0.2</v>
      </c>
      <c r="O25" s="292"/>
      <c r="P25" s="292"/>
      <c r="Q25" s="292"/>
    </row>
    <row r="26" spans="1:17" ht="15.75" customHeight="1" outlineLevel="1">
      <c r="A26" s="315"/>
      <c r="B26" s="292"/>
      <c r="C26" s="292" t="s">
        <v>7</v>
      </c>
      <c r="D26" s="256" t="s">
        <v>24</v>
      </c>
      <c r="E26" s="292"/>
      <c r="F26" s="292"/>
      <c r="G26" s="292"/>
      <c r="H26" s="292"/>
      <c r="I26" s="318"/>
      <c r="J26" s="10">
        <v>1.5</v>
      </c>
      <c r="K26" s="10">
        <v>0.2</v>
      </c>
      <c r="L26" s="10">
        <v>0.1</v>
      </c>
      <c r="M26" s="10">
        <v>0.05</v>
      </c>
      <c r="N26" s="10">
        <v>0.05</v>
      </c>
      <c r="O26" s="292"/>
      <c r="P26" s="292"/>
      <c r="Q26" s="292"/>
    </row>
    <row r="27" spans="1:17" ht="15.75" customHeight="1" outlineLevel="1">
      <c r="A27" s="315"/>
      <c r="B27" s="292"/>
      <c r="C27" s="288"/>
      <c r="D27" s="292"/>
      <c r="E27" s="292"/>
      <c r="F27" s="31"/>
      <c r="G27" s="31"/>
      <c r="H27" s="31"/>
      <c r="I27" s="31"/>
      <c r="J27" s="31"/>
      <c r="K27" s="31"/>
      <c r="L27" s="31"/>
      <c r="M27" s="31"/>
      <c r="N27" s="31"/>
      <c r="O27" s="292"/>
      <c r="P27" s="292"/>
      <c r="Q27" s="292"/>
    </row>
    <row r="28" spans="1:17" ht="15.75" customHeight="1" outlineLevel="1">
      <c r="A28" s="315"/>
      <c r="B28" s="292"/>
      <c r="C28" s="252" t="s">
        <v>25</v>
      </c>
      <c r="D28" s="256" t="s">
        <v>22</v>
      </c>
      <c r="E28" s="383">
        <f>87268-26675</f>
        <v>60593</v>
      </c>
      <c r="F28" s="373">
        <f>76415-24486</f>
        <v>51929</v>
      </c>
      <c r="G28" s="373">
        <v>77888</v>
      </c>
      <c r="H28" s="373">
        <v>124363</v>
      </c>
      <c r="I28" s="373">
        <v>223422</v>
      </c>
      <c r="J28" s="379">
        <f>J29*J22</f>
        <v>612439.98</v>
      </c>
      <c r="K28" s="379">
        <f t="shared" ref="K28:N28" si="4">K29*K22</f>
        <v>827849.90399999998</v>
      </c>
      <c r="L28" s="379">
        <f t="shared" si="4"/>
        <v>1037768.9868000001</v>
      </c>
      <c r="M28" s="379">
        <f t="shared" si="4"/>
        <v>1199199.71808</v>
      </c>
      <c r="N28" s="379">
        <f t="shared" si="4"/>
        <v>1326038.1498</v>
      </c>
      <c r="O28" s="292"/>
      <c r="P28" s="292"/>
      <c r="Q28" s="292"/>
    </row>
    <row r="29" spans="1:17" ht="15.75" customHeight="1" outlineLevel="1">
      <c r="A29" s="315"/>
      <c r="B29" s="292"/>
      <c r="C29" s="312" t="s">
        <v>26</v>
      </c>
      <c r="D29" s="256" t="s">
        <v>24</v>
      </c>
      <c r="E29" s="382">
        <f>E28/E22</f>
        <v>0.69433240133840579</v>
      </c>
      <c r="F29" s="382">
        <f>F28/F22</f>
        <v>0.67956553032781519</v>
      </c>
      <c r="G29" s="382">
        <f>G28/G22</f>
        <v>0.64570897997081844</v>
      </c>
      <c r="H29" s="382">
        <f t="shared" ref="H29:I29" si="5">H28/H22</f>
        <v>0.6457497131166694</v>
      </c>
      <c r="I29" s="382">
        <f t="shared" si="5"/>
        <v>0.63476306690493978</v>
      </c>
      <c r="J29" s="55">
        <f>INDEX(J30:J32, MATCH(Scenario, $C30:$C32, 0))</f>
        <v>0.57999999999999996</v>
      </c>
      <c r="K29" s="55">
        <f>INDEX(K30:K32, MATCH(Scenario, $C30:$C32, 0))</f>
        <v>0.56000000000000005</v>
      </c>
      <c r="L29" s="55">
        <f>INDEX(L30:L32, MATCH(Scenario, $C30:$C32, 0))</f>
        <v>0.54</v>
      </c>
      <c r="M29" s="55">
        <f>INDEX(M30:M32, MATCH(Scenario, $C30:$C32, 0))</f>
        <v>0.52</v>
      </c>
      <c r="N29" s="55">
        <f>INDEX(N30:N32, MATCH(Scenario, $C30:$C32, 0))</f>
        <v>0.5</v>
      </c>
      <c r="O29" s="292"/>
      <c r="P29" s="292"/>
      <c r="Q29" s="292"/>
    </row>
    <row r="30" spans="1:17" ht="15.75" customHeight="1" outlineLevel="1">
      <c r="A30" s="315"/>
      <c r="B30" s="292"/>
      <c r="C30" s="292" t="s">
        <v>2</v>
      </c>
      <c r="D30" s="256" t="s">
        <v>24</v>
      </c>
      <c r="E30" s="256"/>
      <c r="F30" s="33"/>
      <c r="G30" s="33"/>
      <c r="H30" s="33"/>
      <c r="I30" s="33"/>
      <c r="J30" s="10">
        <v>0.57999999999999996</v>
      </c>
      <c r="K30" s="10">
        <v>0.56000000000000005</v>
      </c>
      <c r="L30" s="10">
        <v>0.54</v>
      </c>
      <c r="M30" s="10">
        <v>0.52</v>
      </c>
      <c r="N30" s="10">
        <v>0.5</v>
      </c>
      <c r="O30" s="292"/>
      <c r="P30" s="292"/>
      <c r="Q30" s="292"/>
    </row>
    <row r="31" spans="1:17" ht="15.75" customHeight="1" outlineLevel="1">
      <c r="A31" s="315"/>
      <c r="B31" s="292"/>
      <c r="C31" s="292" t="s">
        <v>3</v>
      </c>
      <c r="D31" s="256" t="s">
        <v>24</v>
      </c>
      <c r="E31" s="256"/>
      <c r="F31" s="33"/>
      <c r="G31" s="33"/>
      <c r="H31" s="33"/>
      <c r="I31" s="33"/>
      <c r="J31" s="10">
        <v>0.55000000000000004</v>
      </c>
      <c r="K31" s="10">
        <v>0.52</v>
      </c>
      <c r="L31" s="10">
        <v>0.5</v>
      </c>
      <c r="M31" s="10">
        <v>0.48</v>
      </c>
      <c r="N31" s="10">
        <v>0.46</v>
      </c>
      <c r="O31" s="292"/>
      <c r="P31" s="292"/>
      <c r="Q31" s="292"/>
    </row>
    <row r="32" spans="1:17" ht="15.75" customHeight="1" outlineLevel="1">
      <c r="A32" s="315"/>
      <c r="B32" s="292"/>
      <c r="C32" s="292" t="s">
        <v>7</v>
      </c>
      <c r="D32" s="256" t="s">
        <v>24</v>
      </c>
      <c r="E32" s="292"/>
      <c r="F32" s="31"/>
      <c r="G32" s="31"/>
      <c r="H32" s="31"/>
      <c r="I32" s="31"/>
      <c r="J32" s="10">
        <v>0.6</v>
      </c>
      <c r="K32" s="10">
        <v>0.57999999999999996</v>
      </c>
      <c r="L32" s="10">
        <v>0.56000000000000005</v>
      </c>
      <c r="M32" s="10">
        <v>0.54</v>
      </c>
      <c r="N32" s="10">
        <v>0.54</v>
      </c>
      <c r="O32" s="292"/>
      <c r="P32" s="292"/>
      <c r="Q32" s="292"/>
    </row>
    <row r="33" spans="1:14" ht="15.75" customHeight="1" outlineLevel="1">
      <c r="A33" s="315"/>
      <c r="B33" s="292"/>
      <c r="C33" s="292"/>
      <c r="F33" s="316"/>
      <c r="G33" s="319"/>
      <c r="H33" s="319"/>
      <c r="I33" s="319"/>
      <c r="J33" s="34"/>
      <c r="K33" s="34"/>
      <c r="L33" s="34"/>
      <c r="M33" s="34"/>
      <c r="N33" s="34"/>
    </row>
    <row r="34" spans="1:14" ht="15.75" customHeight="1" outlineLevel="1">
      <c r="A34" s="315"/>
      <c r="B34" s="292"/>
      <c r="C34" s="28" t="s">
        <v>27</v>
      </c>
      <c r="D34" s="255"/>
      <c r="E34" s="29">
        <f>$E$18</f>
        <v>44316</v>
      </c>
      <c r="F34" s="29">
        <f>$F$18</f>
        <v>44681</v>
      </c>
      <c r="G34" s="29">
        <f>$G$18</f>
        <v>45046</v>
      </c>
      <c r="H34" s="29">
        <f>$H$18</f>
        <v>45412</v>
      </c>
      <c r="I34" s="30">
        <f>$I$18</f>
        <v>45777</v>
      </c>
      <c r="J34" s="29">
        <f>$J$18</f>
        <v>46142</v>
      </c>
      <c r="K34" s="29">
        <f>$K$18</f>
        <v>46507</v>
      </c>
      <c r="L34" s="29">
        <f>$L$18</f>
        <v>46873</v>
      </c>
      <c r="M34" s="29">
        <f>$M$18</f>
        <v>47238</v>
      </c>
      <c r="N34" s="29">
        <f>$N$18</f>
        <v>47603</v>
      </c>
    </row>
    <row r="35" spans="1:14" ht="15.75" customHeight="1" outlineLevel="1">
      <c r="A35" s="315"/>
      <c r="B35" s="292"/>
      <c r="C35" s="292"/>
      <c r="F35" s="316"/>
      <c r="G35" s="319"/>
      <c r="H35" s="319"/>
      <c r="I35" s="319"/>
      <c r="J35" s="34"/>
      <c r="K35" s="34"/>
      <c r="L35" s="34"/>
      <c r="M35" s="34"/>
      <c r="N35" s="34"/>
    </row>
    <row r="36" spans="1:14" ht="15.75" customHeight="1" outlineLevel="1">
      <c r="A36" s="315"/>
      <c r="B36" s="292"/>
      <c r="C36" s="292" t="s">
        <v>21</v>
      </c>
      <c r="D36" s="256" t="s">
        <v>22</v>
      </c>
      <c r="E36" s="370">
        <f>235854+15837</f>
        <v>251691</v>
      </c>
      <c r="F36" s="370">
        <f>178201+93156</f>
        <v>271357</v>
      </c>
      <c r="G36" s="370">
        <v>343910</v>
      </c>
      <c r="H36" s="370">
        <v>448006</v>
      </c>
      <c r="I36" s="371">
        <v>381778</v>
      </c>
      <c r="J36" s="379">
        <f>I36*(1+J37)</f>
        <v>725378.2</v>
      </c>
      <c r="K36" s="379">
        <f t="shared" ref="K36" si="6">J36*(1+K37)</f>
        <v>906722.75</v>
      </c>
      <c r="L36" s="379">
        <f t="shared" ref="L36" si="7">K36*(1+L37)</f>
        <v>1088067.3</v>
      </c>
      <c r="M36" s="379">
        <f t="shared" ref="M36" si="8">L36*(1+M37)</f>
        <v>1251277.395</v>
      </c>
      <c r="N36" s="379">
        <f t="shared" ref="N36" si="9">M36*(1+N37)</f>
        <v>1376405.1345000002</v>
      </c>
    </row>
    <row r="37" spans="1:14" ht="15.75" customHeight="1" outlineLevel="1">
      <c r="A37" s="315"/>
      <c r="B37" s="292"/>
      <c r="C37" s="6" t="s">
        <v>28</v>
      </c>
      <c r="D37" s="256" t="s">
        <v>24</v>
      </c>
      <c r="E37" s="292"/>
      <c r="F37" s="320">
        <f>F36/E36 - 1</f>
        <v>7.8135491535255452E-2</v>
      </c>
      <c r="G37" s="320">
        <f t="shared" ref="G37" si="10">G36/F36 - 1</f>
        <v>0.26737102783418143</v>
      </c>
      <c r="H37" s="320">
        <f t="shared" ref="H37" si="11">H36/G36 - 1</f>
        <v>0.30268384170277107</v>
      </c>
      <c r="I37" s="320">
        <f t="shared" ref="I37" si="12">I36/H36 - 1</f>
        <v>-0.14782837729851828</v>
      </c>
      <c r="J37" s="320">
        <f>INDEX(J38:J40, MATCH(Scenario, $C38:$C40, 0))</f>
        <v>0.9</v>
      </c>
      <c r="K37" s="320">
        <f>INDEX(K38:K40, MATCH(Scenario, $C38:$C40, 0))</f>
        <v>0.25</v>
      </c>
      <c r="L37" s="320">
        <f>INDEX(L38:L40, MATCH(Scenario, $C38:$C40, 0))</f>
        <v>0.2</v>
      </c>
      <c r="M37" s="320">
        <f>INDEX(M38:M40, MATCH(Scenario, $C38:$C40, 0))</f>
        <v>0.15</v>
      </c>
      <c r="N37" s="320">
        <f>INDEX(N38:N40, MATCH(Scenario, $C38:$C40, 0))</f>
        <v>0.1</v>
      </c>
    </row>
    <row r="38" spans="1:14" ht="15.75" customHeight="1" outlineLevel="1">
      <c r="A38" s="315"/>
      <c r="B38" s="292"/>
      <c r="C38" s="292" t="s">
        <v>2</v>
      </c>
      <c r="D38" s="256" t="s">
        <v>24</v>
      </c>
      <c r="E38" s="292"/>
      <c r="F38" s="292"/>
      <c r="G38" s="292"/>
      <c r="H38" s="292"/>
      <c r="I38" s="318"/>
      <c r="J38" s="10">
        <v>0.9</v>
      </c>
      <c r="K38" s="10">
        <v>0.25</v>
      </c>
      <c r="L38" s="10">
        <v>0.2</v>
      </c>
      <c r="M38" s="10">
        <v>0.15</v>
      </c>
      <c r="N38" s="10">
        <v>0.1</v>
      </c>
    </row>
    <row r="39" spans="1:14" ht="15.75" customHeight="1" outlineLevel="1">
      <c r="A39" s="315"/>
      <c r="B39" s="292"/>
      <c r="C39" s="292" t="s">
        <v>3</v>
      </c>
      <c r="D39" s="256" t="s">
        <v>24</v>
      </c>
      <c r="E39" s="292"/>
      <c r="F39" s="292"/>
      <c r="G39" s="292"/>
      <c r="H39" s="292"/>
      <c r="I39" s="318"/>
      <c r="J39" s="10">
        <v>1.1000000000000001</v>
      </c>
      <c r="K39" s="10">
        <v>0.3</v>
      </c>
      <c r="L39" s="10">
        <v>0.25</v>
      </c>
      <c r="M39" s="10">
        <v>0.2</v>
      </c>
      <c r="N39" s="10">
        <v>0.15</v>
      </c>
    </row>
    <row r="40" spans="1:14" ht="15.75" customHeight="1" outlineLevel="1">
      <c r="A40" s="315"/>
      <c r="B40" s="292"/>
      <c r="C40" s="292" t="s">
        <v>7</v>
      </c>
      <c r="D40" s="256" t="s">
        <v>24</v>
      </c>
      <c r="E40" s="292"/>
      <c r="F40" s="292"/>
      <c r="G40" s="292"/>
      <c r="H40" s="292"/>
      <c r="I40" s="318"/>
      <c r="J40" s="10">
        <v>0.7</v>
      </c>
      <c r="K40" s="10">
        <v>0.2</v>
      </c>
      <c r="L40" s="10">
        <v>0.1</v>
      </c>
      <c r="M40" s="10">
        <v>0.05</v>
      </c>
      <c r="N40" s="10">
        <v>0.05</v>
      </c>
    </row>
    <row r="41" spans="1:14" ht="15.75" customHeight="1" outlineLevel="1">
      <c r="A41" s="315"/>
      <c r="B41" s="292"/>
      <c r="C41" s="288"/>
      <c r="D41" s="292"/>
      <c r="E41" s="292"/>
      <c r="F41" s="31"/>
      <c r="G41" s="31"/>
      <c r="H41" s="31"/>
      <c r="I41" s="31"/>
      <c r="J41" s="31"/>
      <c r="K41" s="31"/>
      <c r="L41" s="31"/>
      <c r="M41" s="31"/>
      <c r="N41" s="31"/>
    </row>
    <row r="42" spans="1:14" ht="15.75" customHeight="1" outlineLevel="1">
      <c r="A42" s="315"/>
      <c r="B42" s="292"/>
      <c r="C42" s="252" t="s">
        <v>25</v>
      </c>
      <c r="D42" s="256" t="s">
        <v>22</v>
      </c>
      <c r="E42" s="370">
        <f>251691-(119062+2965)</f>
        <v>129664</v>
      </c>
      <c r="F42" s="370">
        <f>271357-(83759+6155)</f>
        <v>181443</v>
      </c>
      <c r="G42" s="370">
        <f>231960-12731</f>
        <v>219229</v>
      </c>
      <c r="H42" s="370">
        <f>249763-12280</f>
        <v>237483</v>
      </c>
      <c r="I42" s="371">
        <f>213133-18480</f>
        <v>194653</v>
      </c>
      <c r="J42" s="379">
        <f>J43*J36</f>
        <v>449734.484</v>
      </c>
      <c r="K42" s="379">
        <f t="shared" ref="K42" si="13">K43*K36</f>
        <v>544033.65</v>
      </c>
      <c r="L42" s="379">
        <f t="shared" ref="L42" si="14">L43*L36</f>
        <v>631079.03399999999</v>
      </c>
      <c r="M42" s="379">
        <f t="shared" ref="M42" si="15">M43*M36</f>
        <v>713228.11514999997</v>
      </c>
      <c r="N42" s="379">
        <f t="shared" ref="N42" si="16">N43*N36</f>
        <v>770786.87532000011</v>
      </c>
    </row>
    <row r="43" spans="1:14" ht="15.75" customHeight="1" outlineLevel="1">
      <c r="A43" s="315"/>
      <c r="B43" s="292"/>
      <c r="C43" s="6" t="s">
        <v>26</v>
      </c>
      <c r="D43" s="256" t="s">
        <v>24</v>
      </c>
      <c r="E43" s="374">
        <f t="shared" ref="E43:F43" si="17">E42/E36</f>
        <v>0.51517138078040137</v>
      </c>
      <c r="F43" s="374">
        <f t="shared" si="17"/>
        <v>0.66865052311162043</v>
      </c>
      <c r="G43" s="374">
        <f>G42/G36</f>
        <v>0.63746038207670608</v>
      </c>
      <c r="H43" s="374">
        <f t="shared" ref="H43" si="18">H42/H36</f>
        <v>0.53008888273817767</v>
      </c>
      <c r="I43" s="374">
        <f t="shared" ref="I43" si="19">I42/I36</f>
        <v>0.50985913279445128</v>
      </c>
      <c r="J43" s="320">
        <f>INDEX(J44:J46, MATCH(Scenario, $C44:$C46, 0))</f>
        <v>0.62</v>
      </c>
      <c r="K43" s="320">
        <f>INDEX(K44:K46, MATCH(Scenario, $C44:$C46, 0))</f>
        <v>0.6</v>
      </c>
      <c r="L43" s="320">
        <f>INDEX(L44:L46, MATCH(Scenario, $C44:$C46, 0))</f>
        <v>0.57999999999999996</v>
      </c>
      <c r="M43" s="320">
        <f>INDEX(M44:M46, MATCH(Scenario, $C44:$C46, 0))</f>
        <v>0.56999999999999995</v>
      </c>
      <c r="N43" s="320">
        <f>INDEX(N44:N46, MATCH(Scenario, $C44:$C46, 0))</f>
        <v>0.56000000000000005</v>
      </c>
    </row>
    <row r="44" spans="1:14" ht="15.75" customHeight="1" outlineLevel="1">
      <c r="A44" s="315"/>
      <c r="B44" s="292"/>
      <c r="C44" s="292" t="s">
        <v>2</v>
      </c>
      <c r="D44" s="256" t="s">
        <v>24</v>
      </c>
      <c r="E44" s="256"/>
      <c r="F44" s="33"/>
      <c r="G44" s="33"/>
      <c r="H44" s="33"/>
      <c r="I44" s="33"/>
      <c r="J44" s="10">
        <v>0.62</v>
      </c>
      <c r="K44" s="10">
        <v>0.6</v>
      </c>
      <c r="L44" s="10">
        <v>0.57999999999999996</v>
      </c>
      <c r="M44" s="10">
        <v>0.56999999999999995</v>
      </c>
      <c r="N44" s="10">
        <v>0.56000000000000005</v>
      </c>
    </row>
    <row r="45" spans="1:14" ht="15.75" customHeight="1" outlineLevel="1">
      <c r="A45" s="315"/>
      <c r="B45" s="292"/>
      <c r="C45" s="292" t="s">
        <v>3</v>
      </c>
      <c r="D45" s="256" t="s">
        <v>24</v>
      </c>
      <c r="E45" s="256"/>
      <c r="F45" s="33"/>
      <c r="G45" s="33"/>
      <c r="H45" s="33"/>
      <c r="I45" s="33"/>
      <c r="J45" s="10">
        <v>0.6</v>
      </c>
      <c r="K45" s="10">
        <v>0.57999999999999996</v>
      </c>
      <c r="L45" s="10">
        <v>0.55000000000000004</v>
      </c>
      <c r="M45" s="10">
        <v>0.53</v>
      </c>
      <c r="N45" s="10">
        <v>0.52</v>
      </c>
    </row>
    <row r="46" spans="1:14" ht="15.75" customHeight="1" outlineLevel="1">
      <c r="A46" s="315"/>
      <c r="B46" s="292"/>
      <c r="C46" s="292" t="s">
        <v>7</v>
      </c>
      <c r="D46" s="256" t="s">
        <v>24</v>
      </c>
      <c r="E46" s="292"/>
      <c r="F46" s="31"/>
      <c r="G46" s="31"/>
      <c r="H46" s="31"/>
      <c r="I46" s="31"/>
      <c r="J46" s="10">
        <v>0.64</v>
      </c>
      <c r="K46" s="10">
        <v>0.63</v>
      </c>
      <c r="L46" s="10">
        <v>0.62</v>
      </c>
      <c r="M46" s="10">
        <v>0.61</v>
      </c>
      <c r="N46" s="10">
        <v>0.6</v>
      </c>
    </row>
    <row r="47" spans="1:14" ht="15.75" customHeight="1" outlineLevel="1">
      <c r="A47" s="315"/>
      <c r="B47" s="292"/>
      <c r="C47" s="288"/>
      <c r="D47" s="292"/>
      <c r="E47" s="292"/>
      <c r="F47" s="31"/>
      <c r="G47" s="31"/>
      <c r="H47" s="31"/>
      <c r="I47" s="31"/>
      <c r="J47" s="31"/>
      <c r="K47" s="31"/>
      <c r="L47" s="31"/>
      <c r="M47" s="31"/>
      <c r="N47" s="31"/>
    </row>
    <row r="48" spans="1:14" ht="15.75" customHeight="1" outlineLevel="1">
      <c r="A48" s="315"/>
      <c r="B48" s="292"/>
      <c r="C48" s="28" t="s">
        <v>29</v>
      </c>
      <c r="D48" s="255"/>
      <c r="E48" s="29">
        <f>$E$18</f>
        <v>44316</v>
      </c>
      <c r="F48" s="29">
        <f>$F$18</f>
        <v>44681</v>
      </c>
      <c r="G48" s="29">
        <f>$G$18</f>
        <v>45046</v>
      </c>
      <c r="H48" s="29">
        <f>$H$18</f>
        <v>45412</v>
      </c>
      <c r="I48" s="30">
        <f>$I$18</f>
        <v>45777</v>
      </c>
      <c r="J48" s="29">
        <f>$J$18</f>
        <v>46142</v>
      </c>
      <c r="K48" s="29">
        <f>$K$18</f>
        <v>46507</v>
      </c>
      <c r="L48" s="29">
        <f>$L$18</f>
        <v>46873</v>
      </c>
      <c r="M48" s="29">
        <f>$M$18</f>
        <v>47238</v>
      </c>
      <c r="N48" s="29">
        <f>$N$18</f>
        <v>47603</v>
      </c>
    </row>
    <row r="49" spans="1:14" ht="15.75" customHeight="1" outlineLevel="1">
      <c r="A49" s="315"/>
      <c r="B49" s="292"/>
      <c r="C49" s="288"/>
      <c r="D49" s="292"/>
      <c r="E49" s="292"/>
      <c r="F49" s="31"/>
      <c r="G49" s="31"/>
      <c r="H49" s="31"/>
      <c r="I49" s="31"/>
      <c r="J49" s="31"/>
      <c r="K49" s="31"/>
      <c r="L49" s="31"/>
      <c r="M49" s="31"/>
      <c r="N49" s="31"/>
    </row>
    <row r="50" spans="1:14" ht="15.75" customHeight="1" outlineLevel="1">
      <c r="A50" s="315"/>
      <c r="B50" s="292"/>
      <c r="C50" s="292" t="s">
        <v>21</v>
      </c>
      <c r="D50" s="256" t="s">
        <v>22</v>
      </c>
      <c r="E50" s="370">
        <f>13527</f>
        <v>13527</v>
      </c>
      <c r="F50" s="370">
        <f>54365</f>
        <v>54365</v>
      </c>
      <c r="G50" s="370">
        <v>76002</v>
      </c>
      <c r="H50" s="370">
        <v>76127</v>
      </c>
      <c r="I50" s="371">
        <v>86782</v>
      </c>
      <c r="J50" s="379">
        <f>I50*(1+J51)</f>
        <v>121494.79999999999</v>
      </c>
      <c r="K50" s="379">
        <f t="shared" ref="K50" si="20">J50*(1+K51)</f>
        <v>139719.01999999999</v>
      </c>
      <c r="L50" s="379">
        <f t="shared" ref="L50" si="21">K50*(1+L51)</f>
        <v>153690.92199999999</v>
      </c>
      <c r="M50" s="379">
        <f t="shared" ref="M50" si="22">L50*(1+M51)</f>
        <v>165217.74114999999</v>
      </c>
      <c r="N50" s="379">
        <f t="shared" ref="N50" si="23">M50*(1+N51)</f>
        <v>173478.62820750001</v>
      </c>
    </row>
    <row r="51" spans="1:14" ht="15.75" customHeight="1" outlineLevel="1">
      <c r="A51" s="315"/>
      <c r="B51" s="292"/>
      <c r="C51" s="6" t="s">
        <v>28</v>
      </c>
      <c r="D51" s="256" t="s">
        <v>24</v>
      </c>
      <c r="E51" s="292"/>
      <c r="F51" s="320">
        <f>F50/E50 - 1</f>
        <v>3.0189990389591186</v>
      </c>
      <c r="G51" s="320">
        <f t="shared" ref="G51" si="24">G50/F50 - 1</f>
        <v>0.39799503356939203</v>
      </c>
      <c r="H51" s="320">
        <f t="shared" ref="H51" si="25">H50/G50 - 1</f>
        <v>1.6446935606957425E-3</v>
      </c>
      <c r="I51" s="320">
        <f t="shared" ref="I51" si="26">I50/H50 - 1</f>
        <v>0.13996348207600451</v>
      </c>
      <c r="J51" s="320">
        <f>INDEX(J52:J54, MATCH(Scenario, $C52:$C54, 0))</f>
        <v>0.4</v>
      </c>
      <c r="K51" s="320">
        <f>INDEX(K52:K54, MATCH(Scenario, $C52:$C54, 0))</f>
        <v>0.15</v>
      </c>
      <c r="L51" s="320">
        <f>INDEX(L52:L54, MATCH(Scenario, $C52:$C54, 0))</f>
        <v>0.1</v>
      </c>
      <c r="M51" s="320">
        <f>INDEX(M52:M54, MATCH(Scenario, $C52:$C54, 0))</f>
        <v>7.4999999999999997E-2</v>
      </c>
      <c r="N51" s="320">
        <f>INDEX(N52:N54, MATCH(Scenario, $C52:$C54, 0))</f>
        <v>0.05</v>
      </c>
    </row>
    <row r="52" spans="1:14" ht="15.75" customHeight="1" outlineLevel="1">
      <c r="A52" s="315"/>
      <c r="B52" s="292"/>
      <c r="C52" s="292" t="s">
        <v>2</v>
      </c>
      <c r="D52" s="256" t="s">
        <v>24</v>
      </c>
      <c r="E52" s="292"/>
      <c r="F52" s="292"/>
      <c r="G52" s="292"/>
      <c r="H52" s="292"/>
      <c r="I52" s="318"/>
      <c r="J52" s="10">
        <v>0.4</v>
      </c>
      <c r="K52" s="10">
        <v>0.15</v>
      </c>
      <c r="L52" s="10">
        <v>0.1</v>
      </c>
      <c r="M52" s="10">
        <v>7.4999999999999997E-2</v>
      </c>
      <c r="N52" s="10">
        <v>0.05</v>
      </c>
    </row>
    <row r="53" spans="1:14" ht="15.75" customHeight="1" outlineLevel="1">
      <c r="A53" s="315"/>
      <c r="B53" s="292"/>
      <c r="C53" s="292" t="s">
        <v>3</v>
      </c>
      <c r="D53" s="256" t="s">
        <v>24</v>
      </c>
      <c r="E53" s="292"/>
      <c r="F53" s="292"/>
      <c r="G53" s="292"/>
      <c r="H53" s="292"/>
      <c r="I53" s="318"/>
      <c r="J53" s="10">
        <v>0.6</v>
      </c>
      <c r="K53" s="10">
        <v>0.25</v>
      </c>
      <c r="L53" s="10">
        <v>0.2</v>
      </c>
      <c r="M53" s="10">
        <v>0.15</v>
      </c>
      <c r="N53" s="10">
        <v>0.1</v>
      </c>
    </row>
    <row r="54" spans="1:14" ht="15.75" customHeight="1" outlineLevel="1">
      <c r="A54" s="315"/>
      <c r="B54" s="292"/>
      <c r="C54" s="292" t="s">
        <v>7</v>
      </c>
      <c r="D54" s="256" t="s">
        <v>24</v>
      </c>
      <c r="E54" s="292"/>
      <c r="F54" s="292"/>
      <c r="G54" s="292"/>
      <c r="H54" s="292"/>
      <c r="I54" s="318"/>
      <c r="J54" s="10">
        <v>0.2</v>
      </c>
      <c r="K54" s="10">
        <v>0.15</v>
      </c>
      <c r="L54" s="10">
        <v>0.1</v>
      </c>
      <c r="M54" s="10">
        <v>0.05</v>
      </c>
      <c r="N54" s="10">
        <v>0.05</v>
      </c>
    </row>
    <row r="55" spans="1:14" ht="15.75" customHeight="1" outlineLevel="1">
      <c r="A55" s="315"/>
      <c r="B55" s="292"/>
      <c r="C55" s="288"/>
      <c r="D55" s="292"/>
      <c r="E55" s="292"/>
      <c r="F55" s="31"/>
      <c r="G55" s="31"/>
      <c r="H55" s="31"/>
      <c r="I55" s="31"/>
      <c r="J55" s="31"/>
      <c r="K55" s="31"/>
      <c r="L55" s="31"/>
      <c r="M55" s="31"/>
      <c r="N55" s="31"/>
    </row>
    <row r="56" spans="1:14" ht="15.75" customHeight="1" outlineLevel="1">
      <c r="A56" s="315"/>
      <c r="B56" s="292"/>
      <c r="C56" s="252" t="s">
        <v>25</v>
      </c>
      <c r="D56" s="256" t="s">
        <v>22</v>
      </c>
      <c r="E56" s="370">
        <f>13527-2818</f>
        <v>10709</v>
      </c>
      <c r="F56" s="370">
        <f>54635-11303</f>
        <v>43332</v>
      </c>
      <c r="G56" s="370">
        <f>57174-1275</f>
        <v>55899</v>
      </c>
      <c r="H56" s="370">
        <f>58663-1268</f>
        <v>57395</v>
      </c>
      <c r="I56" s="371">
        <f>65436-925</f>
        <v>64511</v>
      </c>
      <c r="J56" s="379">
        <f>J57*J50</f>
        <v>85046.359999999986</v>
      </c>
      <c r="K56" s="379">
        <f t="shared" ref="K56" si="27">K57*K50</f>
        <v>95008.933600000004</v>
      </c>
      <c r="L56" s="379">
        <f t="shared" ref="L56" si="28">L57*L50</f>
        <v>102972.91774</v>
      </c>
      <c r="M56" s="379">
        <f t="shared" ref="M56" si="29">M57*M50</f>
        <v>109043.70915899999</v>
      </c>
      <c r="N56" s="379">
        <f t="shared" ref="N56" si="30">N57*N50</f>
        <v>112761.10833487501</v>
      </c>
    </row>
    <row r="57" spans="1:14" ht="15.75" customHeight="1" outlineLevel="1">
      <c r="A57" s="315"/>
      <c r="B57" s="292"/>
      <c r="C57" s="6" t="s">
        <v>26</v>
      </c>
      <c r="D57" s="256" t="s">
        <v>24</v>
      </c>
      <c r="E57" s="374">
        <f t="shared" ref="E57:F57" si="31">E56/E50</f>
        <v>0.79167590744437055</v>
      </c>
      <c r="F57" s="374">
        <f t="shared" si="31"/>
        <v>0.79705693001011679</v>
      </c>
      <c r="G57" s="374">
        <f>G56/G50</f>
        <v>0.73549380279466325</v>
      </c>
      <c r="H57" s="374">
        <f>H56/H50</f>
        <v>0.75393749917900355</v>
      </c>
      <c r="I57" s="374">
        <f>I56/I50</f>
        <v>0.74336844046000328</v>
      </c>
      <c r="J57" s="320">
        <f>INDEX(J58:J60, MATCH(Scenario, $C58:$C60, 0))</f>
        <v>0.7</v>
      </c>
      <c r="K57" s="320">
        <f>INDEX(K58:K60, MATCH(Scenario, $C58:$C60, 0))</f>
        <v>0.68</v>
      </c>
      <c r="L57" s="320">
        <f>INDEX(L58:L60, MATCH(Scenario, $C58:$C60, 0))</f>
        <v>0.67</v>
      </c>
      <c r="M57" s="320">
        <f>INDEX(M58:M60, MATCH(Scenario, $C58:$C60, 0))</f>
        <v>0.66</v>
      </c>
      <c r="N57" s="320">
        <f>INDEX(N58:N60, MATCH(Scenario, $C58:$C60, 0))</f>
        <v>0.65</v>
      </c>
    </row>
    <row r="58" spans="1:14" ht="15.75" customHeight="1" outlineLevel="1">
      <c r="A58" s="315"/>
      <c r="B58" s="292"/>
      <c r="C58" s="292" t="s">
        <v>2</v>
      </c>
      <c r="D58" s="256" t="s">
        <v>24</v>
      </c>
      <c r="E58" s="256"/>
      <c r="F58" s="33"/>
      <c r="G58" s="33"/>
      <c r="H58" s="33"/>
      <c r="I58" s="33"/>
      <c r="J58" s="10">
        <v>0.7</v>
      </c>
      <c r="K58" s="10">
        <v>0.68</v>
      </c>
      <c r="L58" s="10">
        <v>0.67</v>
      </c>
      <c r="M58" s="10">
        <v>0.66</v>
      </c>
      <c r="N58" s="10">
        <v>0.65</v>
      </c>
    </row>
    <row r="59" spans="1:14" ht="15.75" customHeight="1" outlineLevel="1">
      <c r="A59" s="315"/>
      <c r="B59" s="292"/>
      <c r="C59" s="292" t="s">
        <v>3</v>
      </c>
      <c r="D59" s="256" t="s">
        <v>24</v>
      </c>
      <c r="E59" s="256"/>
      <c r="F59" s="33"/>
      <c r="G59" s="33"/>
      <c r="H59" s="33"/>
      <c r="I59" s="33"/>
      <c r="J59" s="10">
        <v>0.68</v>
      </c>
      <c r="K59" s="10">
        <v>0.66</v>
      </c>
      <c r="L59" s="10">
        <v>0.64</v>
      </c>
      <c r="M59" s="10">
        <v>0.63</v>
      </c>
      <c r="N59" s="10">
        <v>0.62</v>
      </c>
    </row>
    <row r="60" spans="1:14" ht="15.75" customHeight="1" outlineLevel="1">
      <c r="A60" s="315"/>
      <c r="B60" s="292"/>
      <c r="C60" s="292" t="s">
        <v>7</v>
      </c>
      <c r="D60" s="256" t="s">
        <v>24</v>
      </c>
      <c r="E60" s="292"/>
      <c r="F60" s="31"/>
      <c r="G60" s="31"/>
      <c r="H60" s="31"/>
      <c r="I60" s="31"/>
      <c r="J60" s="10">
        <v>0.73</v>
      </c>
      <c r="K60" s="10">
        <v>0.72</v>
      </c>
      <c r="L60" s="10">
        <v>0.71</v>
      </c>
      <c r="M60" s="10">
        <v>0.7</v>
      </c>
      <c r="N60" s="10">
        <v>0.7</v>
      </c>
    </row>
    <row r="61" spans="1:14" ht="15.75" customHeight="1" outlineLevel="1">
      <c r="A61" s="315"/>
      <c r="B61" s="292"/>
      <c r="C61" s="288"/>
      <c r="D61" s="256"/>
      <c r="E61" s="292"/>
      <c r="F61" s="31"/>
      <c r="G61" s="31"/>
      <c r="H61" s="31"/>
      <c r="I61" s="31"/>
      <c r="J61" s="31"/>
      <c r="K61" s="31"/>
      <c r="L61" s="31"/>
      <c r="M61" s="31"/>
      <c r="N61" s="31"/>
    </row>
    <row r="62" spans="1:14" ht="15.75" customHeight="1" outlineLevel="1">
      <c r="A62" s="315"/>
      <c r="B62" s="292"/>
      <c r="C62" s="28" t="s">
        <v>30</v>
      </c>
      <c r="D62" s="255"/>
      <c r="E62" s="29">
        <f>$E$18</f>
        <v>44316</v>
      </c>
      <c r="F62" s="29">
        <f>$F$18</f>
        <v>44681</v>
      </c>
      <c r="G62" s="29">
        <f>$G$18</f>
        <v>45046</v>
      </c>
      <c r="H62" s="29">
        <f>$H$18</f>
        <v>45412</v>
      </c>
      <c r="I62" s="30">
        <f>$I$18</f>
        <v>45777</v>
      </c>
      <c r="J62" s="29">
        <f>$J$18</f>
        <v>46142</v>
      </c>
      <c r="K62" s="29">
        <f>$K$18</f>
        <v>46507</v>
      </c>
      <c r="L62" s="29">
        <f>$L$18</f>
        <v>46873</v>
      </c>
      <c r="M62" s="29">
        <f>$M$18</f>
        <v>47238</v>
      </c>
      <c r="N62" s="29">
        <f>$N$18</f>
        <v>47603</v>
      </c>
    </row>
    <row r="63" spans="1:14" ht="15.75" customHeight="1" outlineLevel="1">
      <c r="A63" s="315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</row>
    <row r="64" spans="1:14" ht="15.75" customHeight="1" outlineLevel="1">
      <c r="A64" s="315"/>
      <c r="B64" s="292"/>
      <c r="C64" s="292" t="s">
        <v>21</v>
      </c>
      <c r="D64" s="256" t="s">
        <v>22</v>
      </c>
      <c r="E64" s="375"/>
      <c r="F64" s="375"/>
      <c r="G64" s="375"/>
      <c r="H64" s="375"/>
      <c r="I64" s="371">
        <v>842775</v>
      </c>
      <c r="J64" s="372">
        <v>0</v>
      </c>
      <c r="K64" s="372">
        <v>0</v>
      </c>
      <c r="L64" s="372">
        <v>0</v>
      </c>
      <c r="M64" s="372">
        <v>0</v>
      </c>
      <c r="N64" s="372">
        <v>0</v>
      </c>
    </row>
    <row r="65" spans="1:14" ht="15.75" customHeight="1" outlineLevel="1">
      <c r="A65" s="315"/>
      <c r="B65" s="292"/>
      <c r="C65" s="288" t="s">
        <v>31</v>
      </c>
      <c r="D65" s="256" t="s">
        <v>22</v>
      </c>
      <c r="E65" s="289"/>
      <c r="F65" s="289"/>
      <c r="G65" s="289"/>
      <c r="H65" s="289"/>
      <c r="I65" s="371">
        <v>53583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</row>
    <row r="66" spans="1:14" ht="15.75" customHeight="1">
      <c r="A66" s="315"/>
      <c r="B66" s="292"/>
      <c r="C66" s="257"/>
      <c r="G66" s="36"/>
      <c r="H66" s="36"/>
      <c r="I66" s="36"/>
      <c r="J66" s="37"/>
      <c r="K66" s="37"/>
      <c r="L66" s="37"/>
      <c r="M66" s="37"/>
      <c r="N66" s="37"/>
    </row>
    <row r="67" spans="1:14" ht="15.75" customHeight="1">
      <c r="A67" s="315"/>
      <c r="B67" s="20"/>
      <c r="C67" s="20"/>
      <c r="D67" s="21"/>
      <c r="E67" s="21"/>
      <c r="F67" s="22" t="str">
        <f>$F$17</f>
        <v>Historical</v>
      </c>
      <c r="G67" s="23"/>
      <c r="H67" s="22"/>
      <c r="I67" s="24"/>
      <c r="J67" s="22" t="str">
        <f>$J$17</f>
        <v>Projected</v>
      </c>
      <c r="K67" s="22"/>
      <c r="L67" s="22"/>
      <c r="M67" s="22"/>
      <c r="N67" s="22"/>
    </row>
    <row r="68" spans="1:14" ht="15.75" customHeight="1">
      <c r="A68" s="315"/>
      <c r="B68" s="25" t="s">
        <v>32</v>
      </c>
      <c r="C68" s="25"/>
      <c r="D68" s="254" t="str">
        <f>$D$18</f>
        <v>Units:</v>
      </c>
      <c r="E68" s="254"/>
      <c r="F68" s="26">
        <f>$F$18</f>
        <v>44681</v>
      </c>
      <c r="G68" s="26">
        <f>$G$18</f>
        <v>45046</v>
      </c>
      <c r="H68" s="26">
        <f>$H$18</f>
        <v>45412</v>
      </c>
      <c r="I68" s="27">
        <f>$I$18</f>
        <v>45777</v>
      </c>
      <c r="J68" s="26">
        <f>$J$18</f>
        <v>46142</v>
      </c>
      <c r="K68" s="26">
        <f>$K$18</f>
        <v>46507</v>
      </c>
      <c r="L68" s="26">
        <f>$L$18</f>
        <v>46873</v>
      </c>
      <c r="M68" s="26">
        <f>$M$18</f>
        <v>47238</v>
      </c>
      <c r="N68" s="26">
        <f>$N$18</f>
        <v>47603</v>
      </c>
    </row>
    <row r="69" spans="1:14" ht="15.75" customHeight="1" outlineLevel="1">
      <c r="A69" s="315"/>
      <c r="B69" s="4"/>
      <c r="C69" s="4"/>
      <c r="D69" s="258"/>
      <c r="E69" s="258"/>
      <c r="F69" s="38"/>
      <c r="G69" s="38"/>
      <c r="H69" s="38"/>
      <c r="I69" s="38"/>
      <c r="J69" s="38"/>
      <c r="K69" s="38"/>
      <c r="L69" s="38"/>
      <c r="M69" s="38"/>
      <c r="N69" s="38"/>
    </row>
    <row r="70" spans="1:14" ht="15.75" customHeight="1" outlineLevel="1">
      <c r="A70" s="315"/>
      <c r="B70" s="292"/>
      <c r="C70" s="288" t="s">
        <v>33</v>
      </c>
      <c r="D70" s="256" t="s">
        <v>22</v>
      </c>
      <c r="E70" s="256"/>
      <c r="F70" s="321">
        <v>96434</v>
      </c>
      <c r="G70" s="321">
        <v>131905</v>
      </c>
      <c r="H70" s="321">
        <v>114420</v>
      </c>
      <c r="I70" s="321">
        <v>169782</v>
      </c>
      <c r="J70" s="321">
        <f>J71*J$134</f>
        <v>199794.41999999998</v>
      </c>
      <c r="K70" s="321">
        <f>K71*K$134</f>
        <v>277721.96869999997</v>
      </c>
      <c r="L70" s="321">
        <f>L71*L$134</f>
        <v>379626.31703999994</v>
      </c>
      <c r="M70" s="321">
        <f>M71*M$134</f>
        <v>465331.05501875002</v>
      </c>
      <c r="N70" s="321">
        <f>N71*N$134</f>
        <v>546254.80809997511</v>
      </c>
    </row>
    <row r="71" spans="1:14" ht="15.75" customHeight="1" outlineLevel="1">
      <c r="A71" s="315"/>
      <c r="B71" s="292"/>
      <c r="C71" s="376" t="s">
        <v>34</v>
      </c>
      <c r="D71" s="322" t="s">
        <v>24</v>
      </c>
      <c r="E71" s="322"/>
      <c r="F71" s="179">
        <f>F70/F$134</f>
        <v>0.23980384794236789</v>
      </c>
      <c r="G71" s="179">
        <f>G70/G$134</f>
        <v>0.2440262998209185</v>
      </c>
      <c r="H71" s="179">
        <f>H70/H$134</f>
        <v>0.15964393347471817</v>
      </c>
      <c r="I71" s="179">
        <f>I70/I$134</f>
        <v>0.10207465586732976</v>
      </c>
      <c r="J71" s="10">
        <v>0.105</v>
      </c>
      <c r="K71" s="10">
        <v>0.11</v>
      </c>
      <c r="L71" s="10">
        <v>0.12</v>
      </c>
      <c r="M71" s="10">
        <v>0.125</v>
      </c>
      <c r="N71" s="10">
        <v>0.13</v>
      </c>
    </row>
    <row r="72" spans="1:14" ht="15.75" customHeight="1" outlineLevel="1">
      <c r="A72" s="315"/>
      <c r="B72" s="292"/>
      <c r="C72" s="288"/>
      <c r="D72" s="292"/>
      <c r="E72" s="292"/>
      <c r="F72" s="39"/>
      <c r="G72" s="40"/>
      <c r="H72" s="40"/>
      <c r="I72" s="40"/>
      <c r="J72" s="40"/>
      <c r="K72" s="40"/>
      <c r="L72" s="40"/>
      <c r="M72" s="40"/>
      <c r="N72" s="40"/>
    </row>
    <row r="73" spans="1:14" ht="15.75" customHeight="1" outlineLevel="1">
      <c r="A73" s="315"/>
      <c r="B73" s="292"/>
      <c r="C73" s="288" t="s">
        <v>35</v>
      </c>
      <c r="D73" s="322" t="s">
        <v>24</v>
      </c>
      <c r="E73" s="322"/>
      <c r="F73" s="323">
        <f>54689/F134</f>
        <v>0.13599594168156623</v>
      </c>
      <c r="G73" s="323">
        <f>64255/G134</f>
        <v>0.11887274853108766</v>
      </c>
      <c r="H73" s="323">
        <f>97687/H134</f>
        <v>0.13629729880567026</v>
      </c>
      <c r="I73" s="323">
        <f>100729/I134</f>
        <v>6.0559293746452858E-2</v>
      </c>
      <c r="J73" s="10">
        <v>6.5000000000000002E-2</v>
      </c>
      <c r="K73" s="10">
        <v>6.25E-2</v>
      </c>
      <c r="L73" s="10">
        <v>0.06</v>
      </c>
      <c r="M73" s="10">
        <v>5.7500000000000002E-2</v>
      </c>
      <c r="N73" s="10">
        <v>5.5E-2</v>
      </c>
    </row>
    <row r="74" spans="1:14" ht="15.75" customHeight="1" outlineLevel="1">
      <c r="A74" s="315"/>
      <c r="B74" s="292"/>
      <c r="C74" s="291"/>
      <c r="H74" s="381"/>
      <c r="I74" s="381"/>
      <c r="J74" s="292"/>
      <c r="K74" s="292"/>
      <c r="L74" s="292"/>
      <c r="M74" s="292"/>
      <c r="N74" s="292"/>
    </row>
    <row r="75" spans="1:14" ht="15.75" customHeight="1" outlineLevel="1">
      <c r="A75" s="315"/>
      <c r="B75" s="292"/>
      <c r="C75" s="288" t="s">
        <v>31</v>
      </c>
      <c r="D75" s="256" t="s">
        <v>22</v>
      </c>
      <c r="E75" s="256"/>
      <c r="F75" s="35"/>
      <c r="G75" s="35"/>
      <c r="H75" s="35"/>
      <c r="I75" s="35">
        <f>137117-112624</f>
        <v>24493</v>
      </c>
      <c r="J75" s="41">
        <v>104247</v>
      </c>
      <c r="K75" s="41">
        <v>157890</v>
      </c>
      <c r="L75" s="41">
        <v>160700</v>
      </c>
      <c r="M75" s="41">
        <v>154479</v>
      </c>
      <c r="N75" s="41">
        <v>131569</v>
      </c>
    </row>
    <row r="76" spans="1:14" ht="15.75" customHeight="1" outlineLevel="1">
      <c r="A76" s="292"/>
      <c r="B76" s="292"/>
      <c r="C76" s="291"/>
      <c r="H76" s="292"/>
      <c r="I76" s="292"/>
      <c r="J76" s="313"/>
      <c r="K76" s="292"/>
      <c r="L76" s="292"/>
      <c r="M76" s="292"/>
      <c r="N76" s="292"/>
    </row>
    <row r="77" spans="1:14" ht="15.75" customHeight="1" outlineLevel="1">
      <c r="A77" s="292"/>
      <c r="B77" s="292"/>
      <c r="C77" s="288" t="s">
        <v>36</v>
      </c>
      <c r="D77" s="256" t="s">
        <v>22</v>
      </c>
      <c r="E77" s="256"/>
      <c r="F77" s="14">
        <v>5390</v>
      </c>
      <c r="G77" s="14">
        <v>10765</v>
      </c>
      <c r="H77" s="14">
        <v>17069</v>
      </c>
      <c r="I77" s="14">
        <v>21461</v>
      </c>
      <c r="J77" s="321">
        <f>J78*J$134</f>
        <v>34250.471999999994</v>
      </c>
      <c r="K77" s="321">
        <f>K78*K$134</f>
        <v>45445.413059999992</v>
      </c>
      <c r="L77" s="321">
        <f>L78*L$134</f>
        <v>56943.947555999985</v>
      </c>
      <c r="M77" s="321">
        <f>M78*M$134</f>
        <v>67007.671922699999</v>
      </c>
      <c r="N77" s="321">
        <f>N78*N$134</f>
        <v>75635.281121534994</v>
      </c>
    </row>
    <row r="78" spans="1:14" ht="15.75" customHeight="1" outlineLevel="1">
      <c r="A78" s="315"/>
      <c r="B78" s="292"/>
      <c r="C78" s="376" t="s">
        <v>34</v>
      </c>
      <c r="D78" s="322" t="s">
        <v>24</v>
      </c>
      <c r="E78" s="322"/>
      <c r="F78" s="179">
        <f>F77/F$134</f>
        <v>1.3403392376229992E-2</v>
      </c>
      <c r="G78" s="179">
        <f>G77/G$134</f>
        <v>1.9915417289505234E-2</v>
      </c>
      <c r="H78" s="179">
        <f>H77/H$134</f>
        <v>2.3815436990735572E-2</v>
      </c>
      <c r="I78" s="179">
        <f>I77/I$134</f>
        <v>1.290257029348673E-2</v>
      </c>
      <c r="J78" s="10">
        <v>1.7999999999999999E-2</v>
      </c>
      <c r="K78" s="10">
        <v>1.7999999999999999E-2</v>
      </c>
      <c r="L78" s="10">
        <v>1.7999999999999999E-2</v>
      </c>
      <c r="M78" s="10">
        <v>1.7999999999999999E-2</v>
      </c>
      <c r="N78" s="10">
        <v>1.7999999999999999E-2</v>
      </c>
    </row>
    <row r="79" spans="1:14" ht="15.75" customHeight="1" outlineLevel="1">
      <c r="A79" s="315"/>
      <c r="B79" s="292"/>
      <c r="C79" s="291"/>
      <c r="H79" s="292"/>
      <c r="I79" s="292"/>
      <c r="J79" s="313"/>
      <c r="K79" s="292"/>
      <c r="L79" s="292"/>
      <c r="M79" s="292"/>
      <c r="N79" s="292"/>
    </row>
    <row r="80" spans="1:14" ht="15.75" customHeight="1" outlineLevel="1">
      <c r="A80" s="315"/>
      <c r="B80" s="292"/>
      <c r="C80" s="288" t="s">
        <v>37</v>
      </c>
      <c r="D80" s="256" t="s">
        <v>22</v>
      </c>
      <c r="E80" s="256"/>
      <c r="F80" s="35">
        <f>-3.3%*F149</f>
        <v>3065.3700000000003</v>
      </c>
      <c r="G80" s="35">
        <f>-0.3%*G149</f>
        <v>810.08100000000002</v>
      </c>
      <c r="H80" s="35">
        <f>0.6%*H149</f>
        <v>298.11599999999999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15.75" customHeight="1" outlineLevel="1">
      <c r="A81" s="315"/>
      <c r="B81" s="292"/>
      <c r="C81" s="288" t="s">
        <v>38</v>
      </c>
      <c r="D81" s="256" t="s">
        <v>22</v>
      </c>
      <c r="E81" s="256"/>
      <c r="F81" s="35">
        <f>1879-F152</f>
        <v>9299.52</v>
      </c>
      <c r="G81" s="35">
        <v>16843.296000000002</v>
      </c>
      <c r="H81" s="35">
        <v>4805.3999999999996</v>
      </c>
      <c r="I81" s="35">
        <v>826.86400000000003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15.75" customHeight="1" outlineLevel="1">
      <c r="A82" s="315"/>
      <c r="B82" s="292"/>
      <c r="C82" s="291"/>
      <c r="H82" s="292"/>
      <c r="I82" s="292"/>
      <c r="J82" s="313"/>
      <c r="K82" s="292"/>
      <c r="L82" s="292"/>
      <c r="M82" s="292"/>
      <c r="N82" s="292"/>
    </row>
    <row r="83" spans="1:14" ht="15.75" customHeight="1" outlineLevel="1">
      <c r="A83" s="315"/>
      <c r="B83" s="292"/>
      <c r="C83" s="288" t="s">
        <v>39</v>
      </c>
      <c r="D83" s="322" t="s">
        <v>24</v>
      </c>
      <c r="E83" s="322"/>
      <c r="F83" s="323">
        <f>-F172</f>
        <v>-1.5201506515478036</v>
      </c>
      <c r="G83" s="323">
        <f t="shared" ref="G83:I83" si="32">-G172</f>
        <v>-0.60832086937044338</v>
      </c>
      <c r="H83" s="323">
        <f t="shared" si="32"/>
        <v>-0.60890886800163468</v>
      </c>
      <c r="I83" s="323">
        <f t="shared" si="32"/>
        <v>-1.9321946519725499E-3</v>
      </c>
      <c r="J83" s="10">
        <v>-0.01</v>
      </c>
      <c r="K83" s="10">
        <v>-1.4999999999999999E-2</v>
      </c>
      <c r="L83" s="10">
        <v>-0.02</v>
      </c>
      <c r="M83" s="10">
        <v>-2.5000000000000001E-2</v>
      </c>
      <c r="N83" s="10">
        <v>-0.03</v>
      </c>
    </row>
    <row r="84" spans="1:14" ht="15.6" customHeight="1" outlineLevel="1">
      <c r="A84" s="315"/>
      <c r="B84" s="292"/>
      <c r="C84" s="291"/>
      <c r="H84" s="292"/>
      <c r="I84" s="292"/>
      <c r="J84" s="313"/>
      <c r="K84" s="292"/>
      <c r="L84" s="292"/>
      <c r="M84" s="292"/>
      <c r="N84" s="292"/>
    </row>
    <row r="85" spans="1:14" ht="15.6" customHeight="1" outlineLevel="1">
      <c r="A85" s="292"/>
      <c r="B85" s="292"/>
      <c r="C85" s="288" t="s">
        <v>40</v>
      </c>
      <c r="D85" s="256" t="s">
        <v>22</v>
      </c>
      <c r="F85" s="481">
        <f>5440*45.8%</f>
        <v>2491.52</v>
      </c>
      <c r="G85" s="481">
        <f>9368*(1-7.8%)</f>
        <v>8637.2960000000003</v>
      </c>
      <c r="H85" s="370">
        <f>4220*(1-7%)</f>
        <v>3924.6</v>
      </c>
      <c r="I85" s="370">
        <f>2188*(1-2.2%)</f>
        <v>2139.864</v>
      </c>
      <c r="J85" s="370"/>
      <c r="K85" s="370"/>
      <c r="L85" s="370"/>
      <c r="M85" s="370"/>
      <c r="N85" s="370"/>
    </row>
    <row r="86" spans="1:14" ht="15.6" customHeight="1" outlineLevel="1">
      <c r="A86" s="292"/>
      <c r="B86" s="292"/>
      <c r="C86" s="291"/>
      <c r="H86" s="292"/>
      <c r="I86" s="292"/>
      <c r="J86" s="313"/>
      <c r="K86" s="292"/>
      <c r="L86" s="292"/>
      <c r="M86" s="292"/>
      <c r="N86" s="292"/>
    </row>
    <row r="87" spans="1:14" ht="15.75" customHeight="1">
      <c r="A87" s="292"/>
      <c r="B87" s="20"/>
      <c r="C87" s="20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</row>
    <row r="88" spans="1:14" ht="15.75" customHeight="1">
      <c r="A88" s="292"/>
      <c r="B88" s="25" t="s">
        <v>41</v>
      </c>
      <c r="C88" s="25"/>
      <c r="D88" s="57"/>
      <c r="E88" s="57"/>
      <c r="F88" s="58"/>
      <c r="G88" s="59"/>
      <c r="H88" s="59"/>
      <c r="I88" s="59"/>
      <c r="J88" s="59"/>
      <c r="K88" s="59"/>
      <c r="L88" s="59"/>
      <c r="M88" s="59"/>
      <c r="N88" s="59"/>
    </row>
    <row r="89" spans="1:14" ht="15.75" customHeight="1" outlineLevel="1">
      <c r="A89" s="292"/>
      <c r="B89" s="292"/>
      <c r="C89" s="6"/>
      <c r="E89" s="292"/>
      <c r="F89" s="292"/>
      <c r="G89" s="292"/>
      <c r="H89" s="292"/>
      <c r="I89" s="292"/>
      <c r="J89" s="292"/>
      <c r="K89" s="292"/>
      <c r="L89" s="292"/>
      <c r="M89" s="292"/>
      <c r="N89" s="292"/>
    </row>
    <row r="90" spans="1:14" ht="15.75" customHeight="1" outlineLevel="1">
      <c r="A90" s="292"/>
      <c r="B90" s="292"/>
      <c r="C90" s="281"/>
      <c r="D90" s="259" t="s">
        <v>42</v>
      </c>
      <c r="E90" s="325"/>
      <c r="F90" s="325"/>
      <c r="G90" s="325"/>
      <c r="H90" s="292"/>
      <c r="I90" s="292"/>
      <c r="J90" s="292"/>
      <c r="K90" s="573" t="s">
        <v>43</v>
      </c>
      <c r="L90" s="573"/>
      <c r="M90" s="573"/>
      <c r="N90" s="573"/>
    </row>
    <row r="91" spans="1:14" ht="15.75" customHeight="1" outlineLevel="1">
      <c r="A91" s="292"/>
      <c r="B91" s="292"/>
      <c r="C91" s="306"/>
      <c r="E91" s="292"/>
      <c r="F91" s="292"/>
      <c r="G91" s="292"/>
      <c r="H91" s="292"/>
      <c r="I91" s="292"/>
      <c r="J91" s="292"/>
      <c r="K91" s="292"/>
      <c r="L91" s="292"/>
      <c r="M91" s="292"/>
      <c r="N91" s="292"/>
    </row>
    <row r="92" spans="1:14" ht="15.75" customHeight="1" outlineLevel="1">
      <c r="A92" s="292"/>
      <c r="B92" s="292"/>
      <c r="C92" s="306"/>
      <c r="D92" s="60" t="s">
        <v>44</v>
      </c>
      <c r="E92" s="60"/>
      <c r="F92" s="60"/>
      <c r="G92" s="482">
        <f>INDEX(G93:G95, MATCH(Scenario, $D93:$D95, 0))</f>
        <v>14</v>
      </c>
      <c r="H92" s="292"/>
      <c r="I92" s="292"/>
      <c r="J92" s="292"/>
      <c r="K92" s="60" t="s">
        <v>45</v>
      </c>
      <c r="L92" s="292"/>
      <c r="M92" s="292"/>
      <c r="N92" s="323">
        <f>INDEX(N93:N95, MATCH(Scenario, $D93:$D95, 0))</f>
        <v>0.02</v>
      </c>
    </row>
    <row r="93" spans="1:14" ht="15.75" customHeight="1" outlineLevel="1">
      <c r="A93" s="292"/>
      <c r="B93" s="292"/>
      <c r="C93" s="307"/>
      <c r="D93" s="253" t="str">
        <f>+$C30</f>
        <v>Base</v>
      </c>
      <c r="E93" s="292"/>
      <c r="F93" s="292"/>
      <c r="G93" s="61">
        <v>14</v>
      </c>
      <c r="H93" s="292"/>
      <c r="I93" s="292"/>
      <c r="J93" s="292"/>
      <c r="K93" s="253" t="str">
        <f>+$C$30</f>
        <v>Base</v>
      </c>
      <c r="L93" s="292"/>
      <c r="M93" s="292"/>
      <c r="N93" s="483">
        <v>0.02</v>
      </c>
    </row>
    <row r="94" spans="1:14" ht="15.75" customHeight="1" outlineLevel="1">
      <c r="A94" s="292"/>
      <c r="B94" s="292"/>
      <c r="C94" s="308"/>
      <c r="D94" s="253" t="str">
        <f>+$C31</f>
        <v>Upside</v>
      </c>
      <c r="E94" s="292"/>
      <c r="F94" s="292"/>
      <c r="G94" s="61">
        <v>15.5</v>
      </c>
      <c r="H94" s="292"/>
      <c r="I94" s="292"/>
      <c r="J94" s="292"/>
      <c r="K94" s="253" t="str">
        <f>+$C31</f>
        <v>Upside</v>
      </c>
      <c r="L94" s="292"/>
      <c r="M94" s="292"/>
      <c r="N94" s="483">
        <v>2.5000000000000001E-2</v>
      </c>
    </row>
    <row r="95" spans="1:14" ht="15.75" customHeight="1" outlineLevel="1">
      <c r="A95" s="292"/>
      <c r="B95" s="292"/>
      <c r="C95" s="326"/>
      <c r="D95" s="253" t="str">
        <f>+$C32</f>
        <v>Downside</v>
      </c>
      <c r="E95" s="292"/>
      <c r="F95" s="292"/>
      <c r="G95" s="61">
        <v>10</v>
      </c>
      <c r="H95" s="292"/>
      <c r="I95" s="292"/>
      <c r="J95" s="292"/>
      <c r="K95" s="253" t="str">
        <f>+$C32</f>
        <v>Downside</v>
      </c>
      <c r="L95" s="292"/>
      <c r="M95" s="292"/>
      <c r="N95" s="483">
        <v>1.4999999999999999E-2</v>
      </c>
    </row>
    <row r="96" spans="1:14" ht="15.75" customHeight="1" outlineLevel="1">
      <c r="A96" s="292"/>
      <c r="B96" s="292"/>
      <c r="C96" s="308"/>
      <c r="E96" s="292"/>
      <c r="F96" s="292"/>
      <c r="G96" s="292"/>
      <c r="H96" s="292"/>
      <c r="I96" s="292"/>
      <c r="J96" s="292"/>
      <c r="K96" s="292"/>
      <c r="L96" s="292"/>
      <c r="M96" s="292"/>
      <c r="N96" s="292"/>
    </row>
    <row r="97" spans="1:14" ht="15.75" customHeight="1" outlineLevel="1">
      <c r="A97" s="292"/>
      <c r="B97" s="292"/>
      <c r="C97" s="309"/>
      <c r="D97" s="60" t="s">
        <v>46</v>
      </c>
      <c r="E97" s="60"/>
      <c r="F97" s="60"/>
      <c r="G97" s="321">
        <f>Terminal_Multiple*N189</f>
        <v>17010158.442560326</v>
      </c>
      <c r="H97" s="292"/>
      <c r="I97" s="292"/>
      <c r="J97" s="292"/>
      <c r="K97" s="60" t="str">
        <f>+$D$97</f>
        <v>Baseline Terminal Value:</v>
      </c>
      <c r="L97" s="292"/>
      <c r="M97" s="292"/>
      <c r="N97" s="321">
        <f>(N177*(1+Terminal_Growth_Rate)/(WACC-Terminal_Growth_Rate))</f>
        <v>14112899.615097452</v>
      </c>
    </row>
    <row r="98" spans="1:14" ht="15.75" customHeight="1" outlineLevel="1">
      <c r="A98" s="292"/>
      <c r="B98" s="292"/>
      <c r="C98" s="310"/>
      <c r="D98" s="60" t="s">
        <v>47</v>
      </c>
      <c r="E98" s="292"/>
      <c r="F98" s="292"/>
      <c r="G98" s="62">
        <f>(G97*WACC - N178)/(N178+G97)</f>
        <v>3.330410437543229E-2</v>
      </c>
      <c r="H98" s="292"/>
      <c r="I98" s="292"/>
      <c r="J98" s="292"/>
      <c r="K98" s="60" t="s">
        <v>48</v>
      </c>
      <c r="L98" s="292"/>
      <c r="M98" s="292"/>
      <c r="N98" s="482">
        <f>N97/N189</f>
        <v>11.615447044691079</v>
      </c>
    </row>
    <row r="99" spans="1:14" ht="15.75" customHeight="1" outlineLevel="1">
      <c r="A99" s="292"/>
      <c r="B99" s="292"/>
      <c r="C99" s="6"/>
      <c r="E99" s="292"/>
      <c r="F99" s="292"/>
      <c r="G99" s="484" t="s">
        <v>49</v>
      </c>
      <c r="H99" s="292"/>
      <c r="I99" s="292"/>
      <c r="J99" s="292"/>
      <c r="K99" s="6"/>
      <c r="L99" s="292"/>
      <c r="M99" s="292"/>
      <c r="N99" s="484" t="s">
        <v>49</v>
      </c>
    </row>
    <row r="100" spans="1:14" ht="15.75" customHeight="1" outlineLevel="1">
      <c r="A100" s="292"/>
      <c r="B100" s="292"/>
      <c r="C100" s="6"/>
      <c r="D100" s="63" t="s">
        <v>50</v>
      </c>
      <c r="E100" s="60"/>
      <c r="F100" s="60"/>
      <c r="G100" s="313">
        <f>G97*N183/Units</f>
        <v>10924.289858353404</v>
      </c>
      <c r="H100" s="292"/>
      <c r="I100" s="292"/>
      <c r="J100" s="292"/>
      <c r="K100" s="63" t="str">
        <f>+$D$100</f>
        <v>(+) PV of Terminal Value:</v>
      </c>
      <c r="L100" s="292"/>
      <c r="M100" s="292"/>
      <c r="N100" s="313">
        <f>N97*N183/Units</f>
        <v>9063.6078821828396</v>
      </c>
    </row>
    <row r="101" spans="1:14" ht="15.75" customHeight="1" outlineLevel="1">
      <c r="A101" s="292"/>
      <c r="B101" s="292"/>
      <c r="C101" s="292"/>
      <c r="D101" s="260" t="s">
        <v>51</v>
      </c>
      <c r="E101" s="64"/>
      <c r="F101" s="64"/>
      <c r="G101" s="327">
        <f>SUM($J180:$N180)/Units</f>
        <v>3116.6429918018844</v>
      </c>
      <c r="H101" s="292"/>
      <c r="I101" s="292"/>
      <c r="J101" s="292"/>
      <c r="K101" s="260" t="str">
        <f>+$D$101</f>
        <v>(+) Sum of PV of Free Cash Flows:</v>
      </c>
      <c r="L101" s="328"/>
      <c r="M101" s="328"/>
      <c r="N101" s="327">
        <f>SUM($J180:$N180)/Units</f>
        <v>3116.6429918018844</v>
      </c>
    </row>
    <row r="102" spans="1:14" ht="15.75" customHeight="1" outlineLevel="1">
      <c r="A102" s="292"/>
      <c r="B102" s="292"/>
      <c r="C102" s="6"/>
      <c r="D102" s="65" t="s">
        <v>52</v>
      </c>
      <c r="E102" s="60"/>
      <c r="F102" s="60"/>
      <c r="G102" s="66">
        <f>SUM(G100:G101)</f>
        <v>14040.932850155288</v>
      </c>
      <c r="H102" s="292"/>
      <c r="I102" s="292"/>
      <c r="J102" s="292"/>
      <c r="K102" s="65" t="str">
        <f>+$D$102</f>
        <v>Implied Enterprise Value:</v>
      </c>
      <c r="L102" s="292"/>
      <c r="M102" s="292"/>
      <c r="N102" s="66">
        <f>SUM(N100:N101)</f>
        <v>12180.250873984724</v>
      </c>
    </row>
    <row r="103" spans="1:14" ht="15.75" customHeight="1" outlineLevel="1">
      <c r="A103" s="292"/>
      <c r="B103" s="292"/>
      <c r="C103" s="6"/>
      <c r="D103" s="60"/>
      <c r="E103" s="60"/>
      <c r="F103" s="60"/>
      <c r="G103" s="60"/>
      <c r="H103" s="292"/>
      <c r="I103" s="292"/>
      <c r="J103" s="292"/>
      <c r="K103" s="60"/>
      <c r="L103" s="292"/>
      <c r="M103" s="292"/>
      <c r="N103" s="60"/>
    </row>
    <row r="104" spans="1:14" ht="15.75" customHeight="1" outlineLevel="1">
      <c r="A104" s="292"/>
      <c r="B104" s="292"/>
      <c r="C104" s="6"/>
      <c r="D104" s="261" t="s">
        <v>53</v>
      </c>
      <c r="E104" s="60"/>
      <c r="F104" s="60"/>
      <c r="G104" s="67">
        <f>G100/G102</f>
        <v>0.77803162901904943</v>
      </c>
      <c r="H104" s="292"/>
      <c r="I104" s="292"/>
      <c r="J104" s="292"/>
      <c r="K104" s="261" t="str">
        <f>+$D$104</f>
        <v>% of Implied EV from Terminal Value:</v>
      </c>
      <c r="L104" s="292"/>
      <c r="M104" s="292"/>
      <c r="N104" s="67">
        <f>N100/N102</f>
        <v>0.7441232513150785</v>
      </c>
    </row>
    <row r="105" spans="1:14" ht="15.75" customHeight="1" outlineLevel="1">
      <c r="A105" s="292"/>
      <c r="B105" s="292"/>
      <c r="C105" s="6"/>
      <c r="D105" s="60"/>
      <c r="E105" s="60"/>
      <c r="F105" s="60"/>
      <c r="G105" s="60"/>
      <c r="H105" s="292"/>
      <c r="I105" s="292"/>
      <c r="J105" s="292"/>
      <c r="K105" s="60"/>
      <c r="L105" s="292"/>
      <c r="M105" s="292"/>
      <c r="N105" s="60"/>
    </row>
    <row r="106" spans="1:14" ht="15.75" customHeight="1" outlineLevel="1">
      <c r="A106" s="292"/>
      <c r="B106" s="292"/>
      <c r="C106" s="292"/>
      <c r="D106" s="63" t="s">
        <v>54</v>
      </c>
      <c r="E106" s="60"/>
      <c r="F106" s="60"/>
      <c r="G106" s="68">
        <f>(359434+229046)/Units</f>
        <v>588.48</v>
      </c>
      <c r="H106" s="292"/>
      <c r="I106" s="292"/>
      <c r="J106" s="292"/>
      <c r="K106" s="63" t="str">
        <f>+$D$106</f>
        <v>(+) Cash &amp; Cash-Equivalents:</v>
      </c>
      <c r="L106" s="292"/>
      <c r="M106" s="292"/>
      <c r="N106" s="68">
        <f>(359434+229046)/Units</f>
        <v>588.48</v>
      </c>
    </row>
    <row r="107" spans="1:14" ht="15.75" customHeight="1" outlineLevel="1">
      <c r="A107" s="292"/>
      <c r="B107" s="292"/>
      <c r="C107" s="292"/>
      <c r="D107" s="291" t="s">
        <v>55</v>
      </c>
      <c r="E107" s="292"/>
      <c r="F107" s="292"/>
      <c r="G107" s="68">
        <f>80970/Units</f>
        <v>80.97</v>
      </c>
      <c r="H107" s="292"/>
      <c r="I107" s="292"/>
      <c r="J107" s="292"/>
      <c r="K107" s="291" t="str">
        <f>+$D$107</f>
        <v>(+) Equity Investments:</v>
      </c>
      <c r="L107" s="292"/>
      <c r="M107" s="292"/>
      <c r="N107" s="68">
        <f>80970/Units</f>
        <v>80.97</v>
      </c>
    </row>
    <row r="108" spans="1:14" ht="15.75" customHeight="1" outlineLevel="1">
      <c r="A108" s="292"/>
      <c r="B108" s="292"/>
      <c r="C108" s="292"/>
      <c r="D108" s="291" t="s">
        <v>56</v>
      </c>
      <c r="E108" s="292"/>
      <c r="F108" s="292"/>
      <c r="G108" s="68">
        <f>(94291+94291+45909)/Units</f>
        <v>234.49100000000001</v>
      </c>
      <c r="H108" s="292"/>
      <c r="I108" s="292"/>
      <c r="J108" s="292"/>
      <c r="K108" s="291" t="str">
        <f>+$D$108</f>
        <v>(+) Other Non-Core Assets, Net:</v>
      </c>
      <c r="L108" s="292"/>
      <c r="M108" s="292"/>
      <c r="N108" s="68">
        <f>(94291+94291+45909)/Units</f>
        <v>234.49100000000001</v>
      </c>
    </row>
    <row r="109" spans="1:14" ht="15.75" customHeight="1" outlineLevel="1">
      <c r="A109" s="292"/>
      <c r="B109" s="292"/>
      <c r="C109" s="292"/>
      <c r="D109" s="291" t="s">
        <v>57</v>
      </c>
      <c r="E109" s="292"/>
      <c r="F109" s="292"/>
      <c r="G109" s="68">
        <f>-73188/Units</f>
        <v>-73.188000000000002</v>
      </c>
      <c r="H109" s="292"/>
      <c r="I109" s="292"/>
      <c r="J109" s="292"/>
      <c r="K109" s="291" t="str">
        <f>+$D$109</f>
        <v>(+) Net Operating Losses:</v>
      </c>
      <c r="L109" s="292"/>
      <c r="M109" s="292"/>
      <c r="N109" s="68">
        <f>-73188/Units</f>
        <v>-73.188000000000002</v>
      </c>
    </row>
    <row r="110" spans="1:14" ht="15.75" customHeight="1" outlineLevel="1">
      <c r="A110" s="292"/>
      <c r="B110" s="292"/>
      <c r="C110" s="292"/>
      <c r="D110" s="291" t="s">
        <v>58</v>
      </c>
      <c r="E110" s="292"/>
      <c r="F110" s="292"/>
      <c r="G110" s="68">
        <f>(726793+84313+14829+14829)/Units</f>
        <v>840.76400000000001</v>
      </c>
      <c r="H110" s="292"/>
      <c r="I110" s="292"/>
      <c r="J110" s="292"/>
      <c r="K110" s="291" t="str">
        <f>+$D$110</f>
        <v>(-) Total Debt &amp; Capital Leases:</v>
      </c>
      <c r="L110" s="292"/>
      <c r="M110" s="292"/>
      <c r="N110" s="68">
        <f>(726793+84313+14829+14829)/Units</f>
        <v>840.76400000000001</v>
      </c>
    </row>
    <row r="111" spans="1:14" ht="15.75" customHeight="1" outlineLevel="1">
      <c r="A111" s="292"/>
      <c r="B111" s="292"/>
      <c r="C111" s="292"/>
      <c r="D111" s="291" t="s">
        <v>59</v>
      </c>
      <c r="E111" s="292"/>
      <c r="F111" s="292"/>
      <c r="G111" s="68">
        <f>(6061+2003+42991)/Units</f>
        <v>51.055</v>
      </c>
      <c r="H111" s="292"/>
      <c r="I111" s="292"/>
      <c r="J111" s="292"/>
      <c r="K111" s="291" t="str">
        <f>+$D$111</f>
        <v>(-) Restructuring &amp; Other Liab.:</v>
      </c>
      <c r="L111" s="328"/>
      <c r="M111" s="328"/>
      <c r="N111" s="68">
        <f>(6061+2003+42991)/Units</f>
        <v>51.055</v>
      </c>
    </row>
    <row r="112" spans="1:14" ht="15.75" customHeight="1" outlineLevel="1">
      <c r="A112" s="292"/>
      <c r="B112" s="292"/>
      <c r="C112" s="292"/>
      <c r="D112" s="69" t="s">
        <v>60</v>
      </c>
      <c r="E112" s="70"/>
      <c r="F112" s="70"/>
      <c r="G112" s="71">
        <f>G102+SUM(G106:G109)-SUM(G110:G111)</f>
        <v>13979.866850155289</v>
      </c>
      <c r="H112" s="292"/>
      <c r="I112" s="292"/>
      <c r="J112" s="292"/>
      <c r="K112" s="69" t="str">
        <f>+$D$112</f>
        <v>Implied Equity Value:</v>
      </c>
      <c r="L112" s="292"/>
      <c r="M112" s="292"/>
      <c r="N112" s="71">
        <f>N102+SUM(N106:N109)-SUM(N110:N111)</f>
        <v>12119.184873984725</v>
      </c>
    </row>
    <row r="113" spans="2:14" ht="15.75" customHeight="1" outlineLevel="1">
      <c r="B113" s="292"/>
      <c r="C113" s="292"/>
      <c r="D113" s="262"/>
      <c r="E113" s="60"/>
      <c r="F113" s="60"/>
      <c r="G113" s="72"/>
      <c r="H113" s="292"/>
      <c r="I113" s="292"/>
      <c r="J113" s="292"/>
      <c r="K113" s="262"/>
      <c r="L113" s="292"/>
      <c r="M113" s="292"/>
      <c r="N113" s="72"/>
    </row>
    <row r="114" spans="2:14" ht="15.75" customHeight="1" outlineLevel="1">
      <c r="B114" s="292"/>
      <c r="C114" s="292"/>
      <c r="D114" s="60" t="s">
        <v>61</v>
      </c>
      <c r="E114" s="60"/>
      <c r="F114" s="60"/>
      <c r="G114" s="454">
        <f>'Share Dilution Calc'!H27</f>
        <v>53.902352025062768</v>
      </c>
      <c r="H114" s="292"/>
      <c r="I114" s="292"/>
      <c r="J114" s="292"/>
      <c r="K114" s="60" t="str">
        <f>+$D$114</f>
        <v>Diluted Shares Outstanding:</v>
      </c>
      <c r="L114" s="292"/>
      <c r="M114" s="292"/>
      <c r="N114" s="454">
        <f>'Share Dilution Calc'!H27</f>
        <v>53.902352025062768</v>
      </c>
    </row>
    <row r="115" spans="2:14" ht="15.75" customHeight="1" outlineLevel="1">
      <c r="B115" s="292"/>
      <c r="C115" s="292"/>
      <c r="D115" s="60"/>
      <c r="E115" s="60"/>
      <c r="F115" s="60"/>
      <c r="G115" s="60"/>
      <c r="H115" s="292"/>
      <c r="I115" s="292"/>
      <c r="J115" s="292"/>
      <c r="K115" s="292"/>
      <c r="L115" s="292"/>
      <c r="M115" s="292"/>
      <c r="N115" s="60"/>
    </row>
    <row r="116" spans="2:14" ht="15.75" customHeight="1" outlineLevel="1">
      <c r="B116" s="292"/>
      <c r="C116" s="292"/>
      <c r="D116" s="73" t="s">
        <v>62</v>
      </c>
      <c r="E116" s="74"/>
      <c r="F116" s="74"/>
      <c r="G116" s="75">
        <f>G112/G114</f>
        <v>259.35541446605379</v>
      </c>
      <c r="H116" s="292"/>
      <c r="I116" s="292"/>
      <c r="J116" s="292"/>
      <c r="K116" s="73" t="str">
        <f>+$D$116</f>
        <v>Implied Share Price from DCF:</v>
      </c>
      <c r="L116" s="74"/>
      <c r="M116" s="74"/>
      <c r="N116" s="75">
        <f>N112/N114</f>
        <v>224.83591937416227</v>
      </c>
    </row>
    <row r="117" spans="2:14" ht="15.75" customHeight="1" outlineLevel="1">
      <c r="B117" s="292"/>
      <c r="C117" s="292"/>
      <c r="D117" s="76" t="s">
        <v>63</v>
      </c>
      <c r="E117" s="77"/>
      <c r="F117" s="77"/>
      <c r="G117" s="78">
        <f>G116/Share_Price - 1</f>
        <v>-0.29886887495322167</v>
      </c>
      <c r="H117" s="292"/>
      <c r="I117" s="292"/>
      <c r="J117" s="292"/>
      <c r="K117" s="76" t="str">
        <f>+$D$117</f>
        <v>Premium / (Discount) to Current:</v>
      </c>
      <c r="L117" s="77"/>
      <c r="M117" s="77"/>
      <c r="N117" s="78">
        <f>N116/Share_Price - 1</f>
        <v>-0.39218750676066538</v>
      </c>
    </row>
    <row r="118" spans="2:14" ht="15.75" customHeight="1" outlineLevel="1">
      <c r="B118" s="292"/>
      <c r="C118" s="6"/>
      <c r="E118" s="292"/>
      <c r="F118" s="292"/>
      <c r="G118" s="292"/>
      <c r="H118" s="292"/>
      <c r="I118" s="292"/>
      <c r="J118" s="292"/>
      <c r="K118" s="6"/>
      <c r="L118" s="292"/>
      <c r="M118" s="292"/>
      <c r="N118" s="292"/>
    </row>
    <row r="119" spans="2:14" ht="15.75" customHeight="1" outlineLevel="1">
      <c r="B119" s="292"/>
      <c r="C119" s="6"/>
      <c r="D119" s="329"/>
      <c r="E119" s="329"/>
      <c r="F119" s="79" t="s">
        <v>64</v>
      </c>
      <c r="G119" s="329"/>
      <c r="H119" s="292"/>
      <c r="I119" s="292"/>
      <c r="J119" s="292"/>
      <c r="K119" s="329"/>
      <c r="L119" s="329"/>
      <c r="M119" s="79" t="str">
        <f>+$F$119</f>
        <v>Exercise</v>
      </c>
      <c r="N119" s="329"/>
    </row>
    <row r="120" spans="2:14" ht="15.75" customHeight="1" outlineLevel="1">
      <c r="B120" s="292"/>
      <c r="C120" s="6"/>
      <c r="D120" s="28" t="s">
        <v>65</v>
      </c>
      <c r="E120" s="80" t="s">
        <v>66</v>
      </c>
      <c r="F120" s="80" t="s">
        <v>67</v>
      </c>
      <c r="G120" s="80" t="s">
        <v>68</v>
      </c>
      <c r="H120" s="292"/>
      <c r="I120" s="292"/>
      <c r="J120" s="292"/>
      <c r="K120" s="28" t="str">
        <f>+$D$120</f>
        <v>Type:</v>
      </c>
      <c r="L120" s="80" t="str">
        <f>+$E$120</f>
        <v>Number:</v>
      </c>
      <c r="M120" s="80" t="str">
        <f>+$F$120</f>
        <v>Price:</v>
      </c>
      <c r="N120" s="80" t="s">
        <v>68</v>
      </c>
    </row>
    <row r="121" spans="2:14" ht="15.75" customHeight="1" outlineLevel="1">
      <c r="B121" s="292"/>
      <c r="C121" s="6"/>
      <c r="D121" s="63" t="s">
        <v>69</v>
      </c>
      <c r="E121" s="81">
        <f>'Share Dilution Calc'!F10</f>
        <v>5.2758260000000003</v>
      </c>
      <c r="F121" s="448">
        <f>'Share Dilution Calc'!G10</f>
        <v>280</v>
      </c>
      <c r="G121" s="81">
        <f>'Share Dilution Calc'!H10</f>
        <v>1.2823376379659917</v>
      </c>
      <c r="H121" s="292"/>
      <c r="I121" s="292"/>
      <c r="J121" s="292"/>
      <c r="K121" s="63" t="str">
        <f>+$D$121</f>
        <v>Options A:</v>
      </c>
      <c r="L121" s="81">
        <f>'Share Dilution Calc'!F10</f>
        <v>5.2758260000000003</v>
      </c>
      <c r="M121" s="81">
        <f>'Share Dilution Calc'!G10</f>
        <v>280</v>
      </c>
      <c r="N121" s="81">
        <f>'Share Dilution Calc'!H10</f>
        <v>1.2823376379659917</v>
      </c>
    </row>
    <row r="122" spans="2:14" ht="15.75" customHeight="1" outlineLevel="1">
      <c r="B122" s="292"/>
      <c r="C122" s="6"/>
      <c r="D122" s="63" t="s">
        <v>70</v>
      </c>
      <c r="E122" s="451">
        <f>'Share Dilution Calc'!E21/'Share Dilution Calc'!F21</f>
        <v>0.74750000000000005</v>
      </c>
      <c r="F122" s="449">
        <f>'Share Dilution Calc'!G21</f>
        <v>322.39999999999998</v>
      </c>
      <c r="G122" s="452">
        <f>'Share Dilution Calc'!H21</f>
        <v>2.318548387096774</v>
      </c>
      <c r="H122" s="292"/>
      <c r="I122" s="292"/>
      <c r="J122" s="292"/>
      <c r="K122" s="63" t="str">
        <f>+$D$122</f>
        <v>Convertible:</v>
      </c>
      <c r="L122" s="82">
        <f>E122</f>
        <v>0.74750000000000005</v>
      </c>
      <c r="M122" s="82">
        <f>F122</f>
        <v>322.39999999999998</v>
      </c>
      <c r="N122" s="82">
        <f>G122</f>
        <v>2.318548387096774</v>
      </c>
    </row>
    <row r="123" spans="2:14" ht="15.75" customHeight="1" outlineLevel="1">
      <c r="B123" s="292"/>
      <c r="C123" s="6"/>
      <c r="D123" s="63" t="s">
        <v>71</v>
      </c>
      <c r="E123" s="82">
        <f>'Share Dilution Calc'!G25</f>
        <v>0.37415999999999999</v>
      </c>
      <c r="F123" s="450"/>
      <c r="G123" s="83">
        <f>'Share Dilution Calc'!H25</f>
        <v>0.37415999999999999</v>
      </c>
      <c r="H123" s="292"/>
      <c r="I123" s="292"/>
      <c r="J123" s="292"/>
      <c r="K123" s="63" t="str">
        <f>+$D$123</f>
        <v>RSUs:</v>
      </c>
      <c r="L123" s="82">
        <f>E123</f>
        <v>0.37415999999999999</v>
      </c>
      <c r="M123" s="6"/>
      <c r="N123" s="82">
        <f>G123</f>
        <v>0.37415999999999999</v>
      </c>
    </row>
    <row r="124" spans="2:14" ht="15.75" customHeight="1" outlineLevel="1">
      <c r="B124" s="292"/>
      <c r="C124" s="6"/>
      <c r="D124" s="84" t="s">
        <v>72</v>
      </c>
      <c r="E124" s="263"/>
      <c r="F124" s="86"/>
      <c r="G124" s="85">
        <f>SUM(G121:G123)</f>
        <v>3.9750460250627655</v>
      </c>
      <c r="H124" s="292"/>
      <c r="I124" s="292"/>
      <c r="J124" s="292"/>
      <c r="K124" s="84" t="str">
        <f>+$D$124</f>
        <v>Total:</v>
      </c>
      <c r="L124" s="263"/>
      <c r="M124" s="86"/>
      <c r="N124" s="85">
        <f>SUM(N121:N123)</f>
        <v>3.9750460250627655</v>
      </c>
    </row>
    <row r="125" spans="2:14" ht="15.75" customHeight="1">
      <c r="B125" s="292"/>
      <c r="C125" s="32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2:14" ht="15.75" customHeight="1">
      <c r="B126" s="20"/>
      <c r="C126" s="20"/>
      <c r="D126" s="21"/>
      <c r="E126" s="21"/>
      <c r="F126" s="22" t="str">
        <f>$F$17</f>
        <v>Historical</v>
      </c>
      <c r="G126" s="23"/>
      <c r="H126" s="22"/>
      <c r="I126" s="24"/>
      <c r="J126" s="22" t="str">
        <f>$J$17</f>
        <v>Projected</v>
      </c>
      <c r="K126" s="22"/>
      <c r="L126" s="22"/>
      <c r="M126" s="22"/>
      <c r="N126" s="22"/>
    </row>
    <row r="127" spans="2:14" ht="15.75" customHeight="1">
      <c r="B127" s="25" t="s">
        <v>73</v>
      </c>
      <c r="C127" s="25"/>
      <c r="D127" s="254" t="str">
        <f>$D$18</f>
        <v>Units:</v>
      </c>
      <c r="E127" s="254"/>
      <c r="F127" s="26">
        <f>$F$18</f>
        <v>44681</v>
      </c>
      <c r="G127" s="26">
        <f>$G$18</f>
        <v>45046</v>
      </c>
      <c r="H127" s="26">
        <f>$H$18</f>
        <v>45412</v>
      </c>
      <c r="I127" s="27">
        <f>$I$18</f>
        <v>45777</v>
      </c>
      <c r="J127" s="26">
        <f>$J$18</f>
        <v>46142</v>
      </c>
      <c r="K127" s="26">
        <f>$K$18</f>
        <v>46507</v>
      </c>
      <c r="L127" s="26">
        <f>$L$18</f>
        <v>46873</v>
      </c>
      <c r="M127" s="26">
        <f>$M$18</f>
        <v>47238</v>
      </c>
      <c r="N127" s="26">
        <f>$N$18</f>
        <v>47603</v>
      </c>
    </row>
    <row r="128" spans="2:14" ht="15.75" customHeight="1" outlineLevel="1">
      <c r="B128" s="292"/>
      <c r="C128" s="263" t="s">
        <v>74</v>
      </c>
      <c r="H128" s="44"/>
      <c r="I128" s="44"/>
      <c r="J128" s="316"/>
      <c r="K128" s="316"/>
      <c r="L128" s="316"/>
      <c r="M128" s="316"/>
      <c r="N128" s="316"/>
    </row>
    <row r="129" spans="2:14" ht="15.75" customHeight="1" outlineLevel="1">
      <c r="B129" s="292"/>
      <c r="C129" s="264" t="s">
        <v>75</v>
      </c>
      <c r="F129" s="292"/>
      <c r="H129" s="44"/>
      <c r="I129" s="32"/>
      <c r="J129" s="316"/>
      <c r="K129" s="316"/>
      <c r="L129" s="316"/>
      <c r="M129" s="316"/>
      <c r="N129" s="316"/>
    </row>
    <row r="130" spans="2:14" ht="15.75" customHeight="1" outlineLevel="1">
      <c r="B130" s="292"/>
      <c r="C130" s="290" t="s">
        <v>76</v>
      </c>
      <c r="D130" s="256" t="s">
        <v>22</v>
      </c>
      <c r="E130" s="256"/>
      <c r="F130" s="380">
        <f t="shared" ref="F130:N130" si="33">F22</f>
        <v>76415</v>
      </c>
      <c r="G130" s="380">
        <f t="shared" si="33"/>
        <v>120624</v>
      </c>
      <c r="H130" s="380">
        <f t="shared" si="33"/>
        <v>192587</v>
      </c>
      <c r="I130" s="380">
        <f t="shared" si="33"/>
        <v>351977</v>
      </c>
      <c r="J130" s="321">
        <f t="shared" si="33"/>
        <v>1055931</v>
      </c>
      <c r="K130" s="321">
        <f t="shared" si="33"/>
        <v>1478303.4</v>
      </c>
      <c r="L130" s="321">
        <f t="shared" si="33"/>
        <v>1921794.42</v>
      </c>
      <c r="M130" s="321">
        <f t="shared" si="33"/>
        <v>2306153.304</v>
      </c>
      <c r="N130" s="321">
        <f t="shared" si="33"/>
        <v>2652076.2996</v>
      </c>
    </row>
    <row r="131" spans="2:14" ht="15.75" customHeight="1" outlineLevel="1">
      <c r="B131" s="292"/>
      <c r="C131" s="290" t="s">
        <v>77</v>
      </c>
      <c r="D131" s="256" t="s">
        <v>22</v>
      </c>
      <c r="E131" s="256"/>
      <c r="F131" s="14">
        <f t="shared" ref="F131:N131" si="34">F36</f>
        <v>271357</v>
      </c>
      <c r="G131" s="14">
        <f t="shared" si="34"/>
        <v>343910</v>
      </c>
      <c r="H131" s="14">
        <f t="shared" si="34"/>
        <v>448006</v>
      </c>
      <c r="I131" s="14">
        <f t="shared" si="34"/>
        <v>381778</v>
      </c>
      <c r="J131" s="313">
        <f t="shared" si="34"/>
        <v>725378.2</v>
      </c>
      <c r="K131" s="313">
        <f t="shared" si="34"/>
        <v>906722.75</v>
      </c>
      <c r="L131" s="313">
        <f t="shared" si="34"/>
        <v>1088067.3</v>
      </c>
      <c r="M131" s="313">
        <f t="shared" si="34"/>
        <v>1251277.395</v>
      </c>
      <c r="N131" s="313">
        <f t="shared" si="34"/>
        <v>1376405.1345000002</v>
      </c>
    </row>
    <row r="132" spans="2:14" ht="15.75" customHeight="1" outlineLevel="1">
      <c r="B132" s="292"/>
      <c r="C132" s="290" t="s">
        <v>78</v>
      </c>
      <c r="D132" s="256" t="s">
        <v>22</v>
      </c>
      <c r="E132" s="256"/>
      <c r="F132" s="14">
        <f t="shared" ref="F132:N132" si="35">F50</f>
        <v>54365</v>
      </c>
      <c r="G132" s="14">
        <f t="shared" si="35"/>
        <v>76002</v>
      </c>
      <c r="H132" s="14">
        <f t="shared" si="35"/>
        <v>76127</v>
      </c>
      <c r="I132" s="14">
        <f t="shared" si="35"/>
        <v>86782</v>
      </c>
      <c r="J132" s="43">
        <f t="shared" si="35"/>
        <v>121494.79999999999</v>
      </c>
      <c r="K132" s="43">
        <f t="shared" si="35"/>
        <v>139719.01999999999</v>
      </c>
      <c r="L132" s="43">
        <f t="shared" si="35"/>
        <v>153690.92199999999</v>
      </c>
      <c r="M132" s="43">
        <f t="shared" si="35"/>
        <v>165217.74114999999</v>
      </c>
      <c r="N132" s="43">
        <f t="shared" si="35"/>
        <v>173478.62820750001</v>
      </c>
    </row>
    <row r="133" spans="2:14" ht="15.75" customHeight="1" outlineLevel="1">
      <c r="B133" s="292"/>
      <c r="C133" s="290" t="s">
        <v>79</v>
      </c>
      <c r="D133" s="256" t="s">
        <v>22</v>
      </c>
      <c r="E133" s="256"/>
      <c r="F133" s="42">
        <v>0</v>
      </c>
      <c r="G133" s="42">
        <v>0</v>
      </c>
      <c r="H133" s="42">
        <v>0</v>
      </c>
      <c r="I133" s="42">
        <f t="shared" ref="I133:N133" si="36">I64</f>
        <v>842775</v>
      </c>
      <c r="J133" s="42">
        <f t="shared" si="36"/>
        <v>0</v>
      </c>
      <c r="K133" s="42">
        <f t="shared" si="36"/>
        <v>0</v>
      </c>
      <c r="L133" s="42">
        <f t="shared" si="36"/>
        <v>0</v>
      </c>
      <c r="M133" s="42">
        <f t="shared" si="36"/>
        <v>0</v>
      </c>
      <c r="N133" s="42">
        <f t="shared" si="36"/>
        <v>0</v>
      </c>
    </row>
    <row r="134" spans="2:14" ht="15.75" customHeight="1" outlineLevel="1">
      <c r="B134" s="292"/>
      <c r="C134" s="266" t="s">
        <v>80</v>
      </c>
      <c r="D134" s="256" t="s">
        <v>22</v>
      </c>
      <c r="E134" s="256"/>
      <c r="F134" s="45">
        <f>SUM(F130:F133)</f>
        <v>402137</v>
      </c>
      <c r="G134" s="45">
        <f t="shared" ref="G134:H134" si="37">SUM(G130:G133)</f>
        <v>540536</v>
      </c>
      <c r="H134" s="45">
        <f t="shared" si="37"/>
        <v>716720</v>
      </c>
      <c r="I134" s="45">
        <v>1663312</v>
      </c>
      <c r="J134" s="45">
        <f>SUM(J130:J133)</f>
        <v>1902804</v>
      </c>
      <c r="K134" s="45">
        <f>SUM(K130:K133)</f>
        <v>2524745.17</v>
      </c>
      <c r="L134" s="45">
        <f>SUM(L130:L133)</f>
        <v>3163552.6419999995</v>
      </c>
      <c r="M134" s="45">
        <f>SUM(M130:M133)</f>
        <v>3722648.4401500002</v>
      </c>
      <c r="N134" s="45">
        <f>SUM(N130:N133)</f>
        <v>4201960.0623075003</v>
      </c>
    </row>
    <row r="135" spans="2:14" ht="15.75" customHeight="1" outlineLevel="1">
      <c r="B135" s="292"/>
      <c r="C135" s="257" t="s">
        <v>81</v>
      </c>
      <c r="D135" s="256" t="s">
        <v>24</v>
      </c>
      <c r="E135" s="256"/>
      <c r="F135" s="36"/>
      <c r="G135" s="36"/>
      <c r="H135" s="36">
        <f t="shared" ref="H135:N135" si="38">H134/G134-1</f>
        <v>0.32594313792235852</v>
      </c>
      <c r="I135" s="36">
        <f t="shared" si="38"/>
        <v>1.3207277597946199</v>
      </c>
      <c r="J135" s="36">
        <f t="shared" si="38"/>
        <v>0.14398501303423528</v>
      </c>
      <c r="K135" s="36">
        <f t="shared" si="38"/>
        <v>0.32685508859556744</v>
      </c>
      <c r="L135" s="36">
        <f t="shared" si="38"/>
        <v>0.25301859355572098</v>
      </c>
      <c r="M135" s="36">
        <f t="shared" si="38"/>
        <v>0.1767303602688084</v>
      </c>
      <c r="N135" s="36">
        <f t="shared" si="38"/>
        <v>0.12875554322776361</v>
      </c>
    </row>
    <row r="136" spans="2:14" ht="15.75" customHeight="1" outlineLevel="1">
      <c r="B136" s="292"/>
      <c r="C136" s="4"/>
      <c r="D136" s="258"/>
      <c r="E136" s="258"/>
      <c r="F136" s="46"/>
      <c r="G136" s="47"/>
      <c r="H136" s="48"/>
      <c r="I136" s="49"/>
      <c r="J136" s="50"/>
      <c r="K136" s="50"/>
      <c r="L136" s="50"/>
      <c r="M136" s="50"/>
      <c r="N136" s="50"/>
    </row>
    <row r="137" spans="2:14" ht="15.75" customHeight="1" outlineLevel="1">
      <c r="B137" s="292"/>
      <c r="C137" s="291" t="s">
        <v>82</v>
      </c>
      <c r="D137" s="256" t="s">
        <v>22</v>
      </c>
      <c r="E137" s="256"/>
      <c r="F137" s="14">
        <f>SUM(F56,F42,F28)</f>
        <v>276704</v>
      </c>
      <c r="G137" s="14">
        <f>SUM(G56,G42,G28)</f>
        <v>353016</v>
      </c>
      <c r="H137" s="14">
        <f>SUM(H56,H42,H28)</f>
        <v>419241</v>
      </c>
      <c r="I137" s="14">
        <f>1241274-26005-29245-31184</f>
        <v>1154840</v>
      </c>
      <c r="J137" s="14">
        <f>SUM(J56,J42,J28)</f>
        <v>1147220.824</v>
      </c>
      <c r="K137" s="14">
        <f>SUM(K56,K42,K28)</f>
        <v>1466892.4876000001</v>
      </c>
      <c r="L137" s="14">
        <f>SUM(L56,L42,L28)</f>
        <v>1771820.93854</v>
      </c>
      <c r="M137" s="14">
        <f>SUM(M56,M42,M28)</f>
        <v>2021471.5423889998</v>
      </c>
      <c r="N137" s="14">
        <f>SUM(N56,N42,N28)</f>
        <v>2209586.1334548751</v>
      </c>
    </row>
    <row r="138" spans="2:14" ht="15.75" customHeight="1" outlineLevel="1">
      <c r="B138" s="292"/>
      <c r="C138" s="291"/>
      <c r="D138" s="256"/>
      <c r="E138" s="256"/>
      <c r="F138" s="14"/>
      <c r="G138" s="14"/>
      <c r="H138" s="14"/>
      <c r="I138" s="14"/>
      <c r="J138" s="330"/>
      <c r="K138" s="330"/>
      <c r="L138" s="330"/>
      <c r="M138" s="330"/>
      <c r="N138" s="330"/>
    </row>
    <row r="139" spans="2:14" ht="15.75" customHeight="1" outlineLevel="1">
      <c r="B139" s="292"/>
      <c r="C139" s="267" t="s">
        <v>83</v>
      </c>
      <c r="D139" s="256" t="s">
        <v>22</v>
      </c>
      <c r="E139" s="256"/>
      <c r="F139" s="51">
        <f>F134-F137</f>
        <v>125433</v>
      </c>
      <c r="G139" s="51">
        <f t="shared" ref="G139:I139" si="39">G134-G137</f>
        <v>187520</v>
      </c>
      <c r="H139" s="51">
        <f t="shared" si="39"/>
        <v>297479</v>
      </c>
      <c r="I139" s="51">
        <f t="shared" si="39"/>
        <v>508472</v>
      </c>
      <c r="J139" s="51">
        <f>J134-J137</f>
        <v>755583.17599999998</v>
      </c>
      <c r="K139" s="51">
        <f>K134-K137</f>
        <v>1057852.6823999998</v>
      </c>
      <c r="L139" s="51">
        <f>L134-L137</f>
        <v>1391731.7034599995</v>
      </c>
      <c r="M139" s="51">
        <f>M134-M137</f>
        <v>1701176.8977610003</v>
      </c>
      <c r="N139" s="51">
        <f>N134-N137</f>
        <v>1992373.9288526252</v>
      </c>
    </row>
    <row r="140" spans="2:14" ht="15.75" customHeight="1" outlineLevel="1">
      <c r="B140" s="292"/>
      <c r="C140" s="257" t="s">
        <v>84</v>
      </c>
      <c r="D140" s="256" t="s">
        <v>24</v>
      </c>
      <c r="E140" s="256"/>
      <c r="F140" s="36">
        <f>F139/F134</f>
        <v>0.3119160882982665</v>
      </c>
      <c r="G140" s="36">
        <f>G139/G$134</f>
        <v>0.3469149140852783</v>
      </c>
      <c r="H140" s="36">
        <f t="shared" ref="H140:I140" si="40">H139/H$134</f>
        <v>0.41505608884920192</v>
      </c>
      <c r="I140" s="36">
        <f t="shared" si="40"/>
        <v>0.30569850996084919</v>
      </c>
      <c r="J140" s="36">
        <f>J139/J$134</f>
        <v>0.3970893355279892</v>
      </c>
      <c r="K140" s="36">
        <f>K139/K$134</f>
        <v>0.41899384340638224</v>
      </c>
      <c r="L140" s="36">
        <f>L139/L$134</f>
        <v>0.43992683572989194</v>
      </c>
      <c r="M140" s="36">
        <f>M139/M$134</f>
        <v>0.45698027227423421</v>
      </c>
      <c r="N140" s="36">
        <f>N139/N$134</f>
        <v>0.47415346631317479</v>
      </c>
    </row>
    <row r="141" spans="2:14" ht="15.75" customHeight="1" outlineLevel="1">
      <c r="B141" s="292"/>
      <c r="C141" s="292"/>
      <c r="H141" s="44"/>
      <c r="I141" s="44"/>
      <c r="J141" s="316"/>
      <c r="K141" s="316"/>
      <c r="L141" s="316"/>
      <c r="M141" s="316"/>
      <c r="N141" s="316"/>
    </row>
    <row r="142" spans="2:14" ht="15.75" customHeight="1" outlineLevel="1">
      <c r="B142" s="292"/>
      <c r="C142" s="4" t="s">
        <v>85</v>
      </c>
      <c r="H142" s="44"/>
      <c r="I142" s="331"/>
      <c r="J142" s="331"/>
      <c r="K142" s="331"/>
      <c r="L142" s="331"/>
      <c r="M142" s="331"/>
      <c r="N142" s="331"/>
    </row>
    <row r="143" spans="2:14" ht="15.75" customHeight="1" outlineLevel="1">
      <c r="B143" s="292"/>
      <c r="C143" s="291" t="s">
        <v>86</v>
      </c>
      <c r="D143" s="256" t="s">
        <v>22</v>
      </c>
      <c r="E143" s="256"/>
      <c r="F143" s="52">
        <f>F70</f>
        <v>96434</v>
      </c>
      <c r="G143" s="52">
        <f>G70</f>
        <v>131905</v>
      </c>
      <c r="H143" s="52">
        <f>H70</f>
        <v>114420</v>
      </c>
      <c r="I143" s="52">
        <f>479458-60700-138571-110405</f>
        <v>169782</v>
      </c>
      <c r="J143" s="330">
        <f>J70</f>
        <v>199794.41999999998</v>
      </c>
      <c r="K143" s="330">
        <f>K70</f>
        <v>277721.96869999997</v>
      </c>
      <c r="L143" s="330">
        <f>L70</f>
        <v>379626.31703999994</v>
      </c>
      <c r="M143" s="330">
        <f>M70</f>
        <v>465331.05501875002</v>
      </c>
      <c r="N143" s="330">
        <f>N70</f>
        <v>546254.80809997511</v>
      </c>
    </row>
    <row r="144" spans="2:14" ht="15.75" customHeight="1" outlineLevel="1">
      <c r="B144" s="292"/>
      <c r="C144" s="291" t="s">
        <v>87</v>
      </c>
      <c r="D144" s="256" t="s">
        <v>22</v>
      </c>
      <c r="E144" s="256"/>
      <c r="F144" s="14">
        <f>F73*F134</f>
        <v>54689</v>
      </c>
      <c r="G144" s="14">
        <f>G73*G134</f>
        <v>64255</v>
      </c>
      <c r="H144" s="14">
        <f>H73*H134</f>
        <v>97686.999999999985</v>
      </c>
      <c r="I144" s="14">
        <v>115855</v>
      </c>
      <c r="J144" s="313">
        <f>J73*J134</f>
        <v>123682.26000000001</v>
      </c>
      <c r="K144" s="313">
        <f>K73*K134</f>
        <v>157796.573125</v>
      </c>
      <c r="L144" s="313">
        <f>L73*L134</f>
        <v>189813.15851999997</v>
      </c>
      <c r="M144" s="313">
        <f>M73*M134</f>
        <v>214052.28530862503</v>
      </c>
      <c r="N144" s="313">
        <f>N73*N134</f>
        <v>231107.80342691252</v>
      </c>
    </row>
    <row r="145" spans="3:14" ht="15.75" customHeight="1" outlineLevel="1">
      <c r="C145" s="291" t="s">
        <v>88</v>
      </c>
      <c r="D145" s="256" t="s">
        <v>22</v>
      </c>
      <c r="E145" s="256"/>
      <c r="F145" s="14">
        <v>30493</v>
      </c>
      <c r="G145" s="14">
        <v>41803</v>
      </c>
      <c r="H145" s="14">
        <v>17098</v>
      </c>
      <c r="I145" s="14">
        <v>17063</v>
      </c>
      <c r="J145" s="313">
        <f>'D&amp;A Schedule'!H7</f>
        <v>20281.600000000002</v>
      </c>
      <c r="K145" s="313">
        <f>'D&amp;A Schedule'!I7</f>
        <v>20808.921599999998</v>
      </c>
      <c r="L145" s="313">
        <f>'D&amp;A Schedule'!J7</f>
        <v>22079.361023999994</v>
      </c>
      <c r="M145" s="313">
        <f>'D&amp;A Schedule'!K7</f>
        <v>24900.612710399997</v>
      </c>
      <c r="N145" s="313">
        <f>'D&amp;A Schedule'!L7</f>
        <v>29631.729125376001</v>
      </c>
    </row>
    <row r="146" spans="3:14" ht="15.75" customHeight="1" outlineLevel="1">
      <c r="C146" s="291" t="s">
        <v>89</v>
      </c>
      <c r="D146" s="265" t="s">
        <v>22</v>
      </c>
      <c r="E146" s="256"/>
      <c r="F146" s="14">
        <v>36707</v>
      </c>
      <c r="G146" s="14">
        <f>190166+29418</f>
        <v>219584</v>
      </c>
      <c r="H146" s="14">
        <v>18588</v>
      </c>
      <c r="I146" s="14">
        <f>26005+29245+138571+60700+31184+18359</f>
        <v>304064</v>
      </c>
      <c r="J146" s="53">
        <f>J75+J65</f>
        <v>104247</v>
      </c>
      <c r="K146" s="53">
        <f>K75+K65</f>
        <v>157890</v>
      </c>
      <c r="L146" s="53">
        <f>L75+L65</f>
        <v>160700</v>
      </c>
      <c r="M146" s="53">
        <f>M75+M65</f>
        <v>154479</v>
      </c>
      <c r="N146" s="53">
        <f>N75+N65</f>
        <v>131569</v>
      </c>
    </row>
    <row r="147" spans="3:14" ht="15.75" customHeight="1" outlineLevel="1">
      <c r="C147" s="263" t="s">
        <v>90</v>
      </c>
      <c r="D147" s="256" t="s">
        <v>22</v>
      </c>
      <c r="E147" s="256"/>
      <c r="F147" s="54">
        <f>SUM(F143:F146)</f>
        <v>218323</v>
      </c>
      <c r="G147" s="54">
        <f t="shared" ref="G147:I147" si="41">SUM(G143:G146)</f>
        <v>457547</v>
      </c>
      <c r="H147" s="54">
        <f t="shared" si="41"/>
        <v>247793</v>
      </c>
      <c r="I147" s="54">
        <f t="shared" si="41"/>
        <v>606764</v>
      </c>
      <c r="J147" s="54">
        <f>SUM(J143:J146)</f>
        <v>448005.27999999997</v>
      </c>
      <c r="K147" s="54">
        <f>SUM(K143:K146)</f>
        <v>614217.46342499997</v>
      </c>
      <c r="L147" s="54">
        <f>SUM(L143:L146)</f>
        <v>752218.83658399992</v>
      </c>
      <c r="M147" s="54">
        <f>SUM(M143:M146)</f>
        <v>858762.95303777512</v>
      </c>
      <c r="N147" s="54">
        <f>SUM(N143:N146)</f>
        <v>938563.34065226361</v>
      </c>
    </row>
    <row r="148" spans="3:14" ht="15.75" customHeight="1" outlineLevel="1">
      <c r="C148" s="292"/>
      <c r="H148" s="44"/>
      <c r="I148" s="44"/>
      <c r="J148" s="55"/>
      <c r="K148" s="55"/>
      <c r="L148" s="55"/>
      <c r="M148" s="55"/>
      <c r="N148" s="55"/>
    </row>
    <row r="149" spans="3:14" ht="15.75" customHeight="1" outlineLevel="1">
      <c r="C149" s="4" t="s">
        <v>91</v>
      </c>
      <c r="D149" s="256" t="s">
        <v>22</v>
      </c>
      <c r="E149" s="256"/>
      <c r="F149" s="51">
        <f>F139-F147</f>
        <v>-92890</v>
      </c>
      <c r="G149" s="51">
        <f t="shared" ref="G149:I149" si="42">G139-G147</f>
        <v>-270027</v>
      </c>
      <c r="H149" s="51">
        <f t="shared" si="42"/>
        <v>49686</v>
      </c>
      <c r="I149" s="51">
        <f t="shared" si="42"/>
        <v>-98292</v>
      </c>
      <c r="J149" s="51">
        <f>J139-J147</f>
        <v>307577.89600000001</v>
      </c>
      <c r="K149" s="51">
        <f>K139-K147</f>
        <v>443635.21897499985</v>
      </c>
      <c r="L149" s="51">
        <f>L139-L147</f>
        <v>639512.86687599961</v>
      </c>
      <c r="M149" s="51">
        <f>M139-M147</f>
        <v>842413.9447232252</v>
      </c>
      <c r="N149" s="51">
        <f>N139-N147</f>
        <v>1053810.5882003615</v>
      </c>
    </row>
    <row r="150" spans="3:14" ht="15.75" customHeight="1" outlineLevel="1">
      <c r="C150" s="257" t="s">
        <v>92</v>
      </c>
      <c r="D150" s="256" t="s">
        <v>24</v>
      </c>
      <c r="E150" s="256"/>
      <c r="F150" s="36">
        <f>F149/F$134</f>
        <v>-0.2309909309513922</v>
      </c>
      <c r="G150" s="36">
        <f>G149/G$134</f>
        <v>-0.49955414625482852</v>
      </c>
      <c r="H150" s="36">
        <f t="shared" ref="H150" si="43">H149/H$134</f>
        <v>6.9324143319566919E-2</v>
      </c>
      <c r="I150" s="36">
        <f t="shared" ref="I150" si="44">I149/I$134</f>
        <v>-5.9094144694440971E-2</v>
      </c>
      <c r="J150" s="36">
        <f>J149/J$134</f>
        <v>0.1616445498327731</v>
      </c>
      <c r="K150" s="36">
        <f>K149/K$134</f>
        <v>0.17571485005554041</v>
      </c>
      <c r="L150" s="36">
        <f>L149/L$134</f>
        <v>0.20215022136369423</v>
      </c>
      <c r="M150" s="36">
        <f>M149/M$134</f>
        <v>0.22629425213445109</v>
      </c>
      <c r="N150" s="36">
        <f>N149/N$134</f>
        <v>0.25079024373726744</v>
      </c>
    </row>
    <row r="151" spans="3:14" ht="15.75" customHeight="1" outlineLevel="1">
      <c r="C151" s="88"/>
      <c r="G151" s="308"/>
      <c r="H151" s="308"/>
      <c r="I151" s="308"/>
      <c r="J151" s="6"/>
      <c r="K151" s="6"/>
      <c r="L151" s="6"/>
      <c r="M151" s="6"/>
      <c r="N151" s="6"/>
    </row>
    <row r="152" spans="3:14" ht="15.75" customHeight="1" outlineLevel="1">
      <c r="C152" s="88" t="s">
        <v>93</v>
      </c>
      <c r="D152" s="256" t="s">
        <v>22</v>
      </c>
      <c r="E152" s="256"/>
      <c r="F152" s="89">
        <f>-10369+(5440*54.2%)</f>
        <v>-7420.52</v>
      </c>
      <c r="G152" s="89">
        <f>-14663+(7.8%*9368)</f>
        <v>-13932.296</v>
      </c>
      <c r="H152" s="89">
        <f>1891+(3%*4220)</f>
        <v>2017.6</v>
      </c>
      <c r="I152" s="89">
        <f>882+(2.2%*2188)</f>
        <v>930.13599999999997</v>
      </c>
      <c r="J152" s="89"/>
      <c r="K152" s="89"/>
      <c r="L152" s="89"/>
      <c r="M152" s="89"/>
      <c r="N152" s="89"/>
    </row>
    <row r="153" spans="3:14" ht="15.75" customHeight="1" outlineLevel="1">
      <c r="C153" s="88"/>
      <c r="F153" s="89"/>
      <c r="G153" s="89"/>
      <c r="H153" s="89"/>
      <c r="I153" s="89"/>
      <c r="J153" s="89"/>
      <c r="K153" s="89"/>
      <c r="L153" s="89"/>
      <c r="M153" s="89"/>
      <c r="N153" s="89"/>
    </row>
    <row r="154" spans="3:14" ht="15.75" customHeight="1" outlineLevel="1">
      <c r="C154" s="87" t="s">
        <v>94</v>
      </c>
      <c r="D154" s="256" t="s">
        <v>22</v>
      </c>
      <c r="E154" s="256"/>
      <c r="F154" s="56">
        <f>F149-F152</f>
        <v>-85469.48</v>
      </c>
      <c r="G154" s="56">
        <f>G149-G152</f>
        <v>-256094.704</v>
      </c>
      <c r="H154" s="56">
        <f t="shared" ref="H154:I154" si="45">H149-H152</f>
        <v>47668.4</v>
      </c>
      <c r="I154" s="56">
        <f t="shared" si="45"/>
        <v>-99222.135999999999</v>
      </c>
      <c r="J154" s="56">
        <f>J149-J152</f>
        <v>307577.89600000001</v>
      </c>
      <c r="K154" s="56">
        <f>K149-K152</f>
        <v>443635.21897499985</v>
      </c>
      <c r="L154" s="56">
        <f>L149-L152</f>
        <v>639512.86687599961</v>
      </c>
      <c r="M154" s="56">
        <f>M149-M152</f>
        <v>842413.9447232252</v>
      </c>
      <c r="N154" s="56">
        <f>N149-N152</f>
        <v>1053810.5882003615</v>
      </c>
    </row>
    <row r="155" spans="3:14" ht="15.75" customHeight="1" outlineLevel="1">
      <c r="C155" s="88"/>
      <c r="H155" s="6"/>
      <c r="I155" s="6"/>
      <c r="J155" s="6"/>
      <c r="K155" s="6"/>
      <c r="L155" s="6"/>
      <c r="M155" s="6"/>
      <c r="N155" s="6"/>
    </row>
    <row r="156" spans="3:14" ht="15.75" customHeight="1" outlineLevel="1">
      <c r="C156" s="87" t="s">
        <v>95</v>
      </c>
      <c r="G156" s="180"/>
      <c r="H156" s="180"/>
      <c r="I156" s="180"/>
      <c r="J156" s="6"/>
      <c r="K156" s="6"/>
      <c r="L156" s="6"/>
      <c r="M156" s="6"/>
      <c r="N156" s="6"/>
    </row>
    <row r="157" spans="3:14" ht="15.75" customHeight="1" outlineLevel="1">
      <c r="C157" s="268" t="s">
        <v>89</v>
      </c>
      <c r="D157" s="256" t="s">
        <v>22</v>
      </c>
      <c r="E157" s="14"/>
      <c r="F157" s="14">
        <f>F146</f>
        <v>36707</v>
      </c>
      <c r="G157" s="14">
        <f t="shared" ref="G157:I157" si="46">G146</f>
        <v>219584</v>
      </c>
      <c r="H157" s="14">
        <f t="shared" si="46"/>
        <v>18588</v>
      </c>
      <c r="I157" s="14">
        <f t="shared" si="46"/>
        <v>304064</v>
      </c>
      <c r="J157" s="14">
        <f>J75+J65</f>
        <v>104247</v>
      </c>
      <c r="K157" s="14">
        <f>K75+K65</f>
        <v>157890</v>
      </c>
      <c r="L157" s="14">
        <f>L75+L65</f>
        <v>160700</v>
      </c>
      <c r="M157" s="14">
        <f>M75+M65</f>
        <v>154479</v>
      </c>
      <c r="N157" s="14">
        <f>N75+N65</f>
        <v>131569</v>
      </c>
    </row>
    <row r="158" spans="3:14" ht="15.75" customHeight="1" outlineLevel="1">
      <c r="C158" s="268" t="s">
        <v>88</v>
      </c>
      <c r="D158" s="256" t="s">
        <v>22</v>
      </c>
      <c r="E158" s="256"/>
      <c r="F158" s="14">
        <v>30493</v>
      </c>
      <c r="G158" s="14">
        <f>'D&amp;A Schedule'!E7</f>
        <v>41803</v>
      </c>
      <c r="H158" s="14">
        <f>'D&amp;A Schedule'!F7</f>
        <v>17098</v>
      </c>
      <c r="I158" s="14">
        <f>'D&amp;A Schedule'!G7</f>
        <v>17063</v>
      </c>
      <c r="J158" s="89">
        <f>J145</f>
        <v>20281.600000000002</v>
      </c>
      <c r="K158" s="89">
        <f t="shared" ref="K158:N158" si="47">K145</f>
        <v>20808.921599999998</v>
      </c>
      <c r="L158" s="89">
        <f t="shared" si="47"/>
        <v>22079.361023999994</v>
      </c>
      <c r="M158" s="89">
        <f t="shared" si="47"/>
        <v>24900.612710399997</v>
      </c>
      <c r="N158" s="89">
        <f t="shared" si="47"/>
        <v>29631.729125376001</v>
      </c>
    </row>
    <row r="159" spans="3:14" ht="15.75" customHeight="1" outlineLevel="1">
      <c r="C159" s="268" t="s">
        <v>96</v>
      </c>
      <c r="D159" s="256" t="s">
        <v>22</v>
      </c>
      <c r="E159" s="256"/>
      <c r="F159" s="14">
        <v>7282</v>
      </c>
      <c r="G159" s="14">
        <v>18661</v>
      </c>
      <c r="H159" s="14">
        <v>23290</v>
      </c>
      <c r="I159" s="14">
        <v>20157</v>
      </c>
      <c r="J159" s="89"/>
      <c r="K159" s="89"/>
      <c r="L159" s="89"/>
      <c r="M159" s="89"/>
      <c r="N159" s="89"/>
    </row>
    <row r="160" spans="3:14" ht="15.75" customHeight="1" outlineLevel="1">
      <c r="C160" s="268" t="s">
        <v>97</v>
      </c>
      <c r="D160" s="256" t="s">
        <v>22</v>
      </c>
      <c r="E160" s="256"/>
      <c r="F160" s="14">
        <v>649</v>
      </c>
      <c r="G160" s="14">
        <v>1995</v>
      </c>
      <c r="H160" s="14">
        <v>1316</v>
      </c>
      <c r="I160" s="14">
        <v>2606</v>
      </c>
      <c r="J160" s="89">
        <v>0</v>
      </c>
      <c r="K160" s="89">
        <v>0</v>
      </c>
      <c r="L160" s="89">
        <v>0</v>
      </c>
      <c r="M160" s="89">
        <v>0</v>
      </c>
      <c r="N160" s="89">
        <v>0</v>
      </c>
    </row>
    <row r="161" spans="3:14" ht="15.75" customHeight="1" outlineLevel="1">
      <c r="C161" s="269" t="s">
        <v>98</v>
      </c>
      <c r="D161" s="270" t="s">
        <v>22</v>
      </c>
      <c r="E161" s="270"/>
      <c r="F161" s="45">
        <f t="shared" ref="F161:G161" si="48">SUM(F157:F160)</f>
        <v>75131</v>
      </c>
      <c r="G161" s="45">
        <f t="shared" si="48"/>
        <v>282043</v>
      </c>
      <c r="H161" s="45">
        <f t="shared" ref="H161" si="49">SUM(H157:H160)</f>
        <v>60292</v>
      </c>
      <c r="I161" s="45">
        <f t="shared" ref="I161" si="50">SUM(I157:I160)</f>
        <v>343890</v>
      </c>
      <c r="J161" s="45">
        <f t="shared" ref="J161" si="51">SUM(J157:J160)</f>
        <v>124528.6</v>
      </c>
      <c r="K161" s="45">
        <f t="shared" ref="K161" si="52">SUM(K157:K160)</f>
        <v>178698.9216</v>
      </c>
      <c r="L161" s="45">
        <f t="shared" ref="L161" si="53">SUM(L157:L160)</f>
        <v>182779.36102399998</v>
      </c>
      <c r="M161" s="45">
        <f t="shared" ref="M161" si="54">SUM(M157:M160)</f>
        <v>179379.61271039999</v>
      </c>
      <c r="N161" s="45">
        <f t="shared" ref="N161" si="55">SUM(N157:N160)</f>
        <v>161200.729125376</v>
      </c>
    </row>
    <row r="162" spans="3:14" ht="15.75" customHeight="1" outlineLevel="1">
      <c r="C162" s="88"/>
      <c r="F162" s="89"/>
      <c r="G162" s="89"/>
      <c r="H162" s="89"/>
      <c r="I162" s="89"/>
      <c r="J162" s="89"/>
      <c r="K162" s="89"/>
      <c r="L162" s="89"/>
      <c r="M162" s="89"/>
      <c r="N162" s="89"/>
    </row>
    <row r="163" spans="3:14" ht="15.75" customHeight="1" outlineLevel="2">
      <c r="C163" s="87" t="s">
        <v>99</v>
      </c>
      <c r="F163" s="89"/>
      <c r="G163" s="89"/>
      <c r="H163" s="89"/>
      <c r="I163" s="89"/>
      <c r="J163" s="89"/>
      <c r="K163" s="89"/>
      <c r="L163" s="89"/>
      <c r="M163" s="89"/>
      <c r="N163" s="89"/>
    </row>
    <row r="164" spans="3:14" ht="15.75" customHeight="1" outlineLevel="2">
      <c r="C164" s="268" t="s">
        <v>100</v>
      </c>
      <c r="D164" s="256" t="s">
        <v>22</v>
      </c>
      <c r="E164" s="256"/>
      <c r="F164" s="14">
        <v>3082</v>
      </c>
      <c r="G164" s="14">
        <v>-27423</v>
      </c>
      <c r="H164" s="14">
        <v>19208</v>
      </c>
      <c r="I164" s="14">
        <v>27473</v>
      </c>
      <c r="J164" s="387"/>
      <c r="K164" s="387"/>
      <c r="L164" s="387"/>
      <c r="M164" s="387"/>
      <c r="N164" s="387"/>
    </row>
    <row r="165" spans="3:14" ht="15.75" customHeight="1" outlineLevel="2">
      <c r="C165" s="268" t="s">
        <v>101</v>
      </c>
      <c r="D165" s="256" t="s">
        <v>22</v>
      </c>
      <c r="E165" s="256"/>
      <c r="F165" s="14">
        <v>-27160</v>
      </c>
      <c r="G165" s="14">
        <v>-61846</v>
      </c>
      <c r="H165" s="14">
        <v>-23045</v>
      </c>
      <c r="I165" s="14">
        <v>418</v>
      </c>
      <c r="J165" s="387"/>
      <c r="K165" s="387"/>
      <c r="L165" s="387"/>
      <c r="M165" s="387"/>
      <c r="N165" s="387"/>
    </row>
    <row r="166" spans="3:14" ht="15.75" customHeight="1" outlineLevel="2">
      <c r="C166" s="268" t="s">
        <v>102</v>
      </c>
      <c r="D166" s="256" t="s">
        <v>22</v>
      </c>
      <c r="E166" s="256"/>
      <c r="F166" s="14">
        <v>-4534</v>
      </c>
      <c r="G166" s="14">
        <v>-3821</v>
      </c>
      <c r="H166" s="14">
        <v>-20729</v>
      </c>
      <c r="I166" s="14">
        <v>4082</v>
      </c>
      <c r="J166" s="387"/>
      <c r="K166" s="387"/>
      <c r="L166" s="387"/>
      <c r="M166" s="387"/>
      <c r="N166" s="387"/>
    </row>
    <row r="167" spans="3:14" ht="15.75" customHeight="1" outlineLevel="2">
      <c r="C167" s="268" t="s">
        <v>103</v>
      </c>
      <c r="D167" s="256" t="s">
        <v>22</v>
      </c>
      <c r="E167" s="256"/>
      <c r="F167" s="14">
        <v>-7044</v>
      </c>
      <c r="G167" s="14">
        <v>12538</v>
      </c>
      <c r="H167" s="14">
        <v>12968</v>
      </c>
      <c r="I167" s="14">
        <v>-4565</v>
      </c>
      <c r="J167" s="387"/>
      <c r="K167" s="387"/>
      <c r="L167" s="387"/>
      <c r="M167" s="387"/>
      <c r="N167" s="387"/>
    </row>
    <row r="168" spans="3:14" ht="15.75" customHeight="1" outlineLevel="2">
      <c r="C168" s="268" t="s">
        <v>104</v>
      </c>
      <c r="D168" s="256" t="s">
        <v>22</v>
      </c>
      <c r="E168" s="256"/>
      <c r="F168" s="14">
        <v>-31883</v>
      </c>
      <c r="G168" s="14">
        <v>-1446</v>
      </c>
      <c r="H168" s="14">
        <v>-92850</v>
      </c>
      <c r="I168" s="14">
        <v>0</v>
      </c>
      <c r="J168" s="387"/>
      <c r="K168" s="387"/>
      <c r="L168" s="387"/>
      <c r="M168" s="387"/>
      <c r="N168" s="387"/>
    </row>
    <row r="169" spans="3:14" ht="15.75" customHeight="1" outlineLevel="2">
      <c r="C169" s="268" t="s">
        <v>105</v>
      </c>
      <c r="D169" s="256" t="s">
        <v>22</v>
      </c>
      <c r="E169" s="256"/>
      <c r="F169" s="14">
        <v>-442</v>
      </c>
      <c r="G169" s="14">
        <v>442</v>
      </c>
      <c r="H169" s="14">
        <v>0</v>
      </c>
      <c r="I169" s="14">
        <v>1176</v>
      </c>
      <c r="J169" s="387"/>
      <c r="K169" s="387"/>
      <c r="L169" s="387"/>
      <c r="M169" s="387"/>
      <c r="N169" s="387"/>
    </row>
    <row r="170" spans="3:14" ht="15.75" customHeight="1" outlineLevel="2">
      <c r="C170" s="271" t="s">
        <v>106</v>
      </c>
      <c r="D170" s="265" t="s">
        <v>22</v>
      </c>
      <c r="E170" s="265"/>
      <c r="F170" s="181">
        <v>-7496</v>
      </c>
      <c r="G170" s="181">
        <f>-2635</f>
        <v>-2635</v>
      </c>
      <c r="H170" s="181">
        <f>-2832</f>
        <v>-2832</v>
      </c>
      <c r="I170" s="181">
        <f>-5977+2750-20653-6533</f>
        <v>-30413</v>
      </c>
      <c r="J170" s="388"/>
      <c r="K170" s="388"/>
      <c r="L170" s="388"/>
      <c r="M170" s="388"/>
      <c r="N170" s="388"/>
    </row>
    <row r="171" spans="3:14" ht="15.75" customHeight="1" outlineLevel="1">
      <c r="C171" s="87" t="s">
        <v>107</v>
      </c>
      <c r="D171" s="256" t="s">
        <v>22</v>
      </c>
      <c r="E171" s="256"/>
      <c r="F171" s="56">
        <f>SUM(F164:F170)</f>
        <v>-75477</v>
      </c>
      <c r="G171" s="56">
        <f>SUM(G164:G170)</f>
        <v>-84191</v>
      </c>
      <c r="H171" s="56">
        <f>SUM(H164:H170)</f>
        <v>-107280</v>
      </c>
      <c r="I171" s="56">
        <f>SUM(I164:I170)</f>
        <v>-1829</v>
      </c>
      <c r="J171" s="56">
        <f>-J172*(J134-I134)</f>
        <v>-2394.92</v>
      </c>
      <c r="K171" s="56">
        <f t="shared" ref="K171:N171" si="56">-K172*(K134-J134)</f>
        <v>-9329.117549999999</v>
      </c>
      <c r="L171" s="56">
        <f t="shared" si="56"/>
        <v>-12776.149439999992</v>
      </c>
      <c r="M171" s="56">
        <f t="shared" si="56"/>
        <v>-13977.394953750016</v>
      </c>
      <c r="N171" s="56">
        <f t="shared" si="56"/>
        <v>-14379.348664725003</v>
      </c>
    </row>
    <row r="172" spans="3:14" ht="15.75" customHeight="1" outlineLevel="1">
      <c r="C172" s="272" t="s">
        <v>108</v>
      </c>
      <c r="D172" s="256" t="s">
        <v>24</v>
      </c>
      <c r="E172" s="256"/>
      <c r="F172" s="36">
        <f>-F171/(F134-(394912-42426))</f>
        <v>1.5201506515478036</v>
      </c>
      <c r="G172" s="36">
        <f>-G171/(G134-F134)</f>
        <v>0.60832086937044338</v>
      </c>
      <c r="H172" s="36">
        <f>-H171/(H134-G134)</f>
        <v>0.60890886800163468</v>
      </c>
      <c r="I172" s="36">
        <f>-I171/(I134-H134)</f>
        <v>1.9321946519725499E-3</v>
      </c>
      <c r="J172" s="36">
        <f>-J83</f>
        <v>0.01</v>
      </c>
      <c r="K172" s="36">
        <f>-K83</f>
        <v>1.4999999999999999E-2</v>
      </c>
      <c r="L172" s="36">
        <f>-L83</f>
        <v>0.02</v>
      </c>
      <c r="M172" s="36">
        <f>-M83</f>
        <v>2.5000000000000001E-2</v>
      </c>
      <c r="N172" s="36">
        <f>-N83</f>
        <v>0.03</v>
      </c>
    </row>
    <row r="173" spans="3:14" ht="15.75" customHeight="1" outlineLevel="1">
      <c r="C173" s="88"/>
      <c r="F173" s="89"/>
      <c r="G173" s="89"/>
      <c r="H173" s="89"/>
      <c r="I173" s="89"/>
      <c r="J173" s="89"/>
      <c r="K173" s="89"/>
      <c r="L173" s="89"/>
      <c r="M173" s="89"/>
      <c r="N173" s="89"/>
    </row>
    <row r="174" spans="3:14" ht="15.75" customHeight="1" outlineLevel="1">
      <c r="C174" s="87" t="s">
        <v>109</v>
      </c>
      <c r="D174" s="256" t="s">
        <v>22</v>
      </c>
      <c r="E174" s="256"/>
      <c r="F174" s="182">
        <f>-'D&amp;A Schedule'!D9</f>
        <v>-33893</v>
      </c>
      <c r="G174" s="182">
        <f>-'D&amp;A Schedule'!E9</f>
        <v>-19302</v>
      </c>
      <c r="H174" s="182">
        <f>-'D&amp;A Schedule'!F9</f>
        <v>-23905</v>
      </c>
      <c r="I174" s="182">
        <f>-'D&amp;A Schedule'!G9</f>
        <v>-21165</v>
      </c>
      <c r="J174" s="56">
        <f>-'D&amp;A Schedule'!H9</f>
        <v>-24337.919999999998</v>
      </c>
      <c r="K174" s="56">
        <f>-'D&amp;A Schedule'!I9</f>
        <v>-27380.159999999996</v>
      </c>
      <c r="L174" s="56">
        <f>-'D&amp;A Schedule'!J9</f>
        <v>-31892.410367999993</v>
      </c>
      <c r="M174" s="56">
        <f>-'D&amp;A Schedule'!K9</f>
        <v>-38418.088181760002</v>
      </c>
      <c r="N174" s="56">
        <f>-'D&amp;A Schedule'!L9</f>
        <v>-46564.145768448005</v>
      </c>
    </row>
    <row r="175" spans="3:14" ht="15.75" customHeight="1" outlineLevel="1">
      <c r="C175" s="272" t="s">
        <v>110</v>
      </c>
      <c r="D175" s="256" t="s">
        <v>24</v>
      </c>
      <c r="E175" s="256"/>
      <c r="F175" s="36">
        <f>F174/F$134</f>
        <v>-8.4282222227748255E-2</v>
      </c>
      <c r="G175" s="36">
        <f>G174/G$134</f>
        <v>-3.5708999955599625E-2</v>
      </c>
      <c r="H175" s="36">
        <f t="shared" ref="H175:I175" si="57">H174/H$134</f>
        <v>-3.3353331845071992E-2</v>
      </c>
      <c r="I175" s="36">
        <f t="shared" si="57"/>
        <v>-1.2724612099233337E-2</v>
      </c>
      <c r="J175" s="36">
        <f>J174/J$134</f>
        <v>-1.2790555411907899E-2</v>
      </c>
      <c r="K175" s="36">
        <f>K174/K$134</f>
        <v>-1.0844722202201498E-2</v>
      </c>
      <c r="L175" s="36">
        <f>L174/L$134</f>
        <v>-1.0081201097964849E-2</v>
      </c>
      <c r="M175" s="36">
        <f>M174/M$134</f>
        <v>-1.0320095705898025E-2</v>
      </c>
      <c r="N175" s="36">
        <f>N174/N$134</f>
        <v>-1.1081529828457573E-2</v>
      </c>
    </row>
    <row r="176" spans="3:14" ht="15.75" customHeight="1" outlineLevel="1">
      <c r="C176" s="88"/>
      <c r="F176" s="89"/>
      <c r="G176" s="89"/>
      <c r="H176" s="89"/>
      <c r="I176" s="89"/>
      <c r="J176" s="89"/>
      <c r="K176" s="89"/>
      <c r="L176" s="89"/>
      <c r="M176" s="89"/>
      <c r="N176" s="89"/>
    </row>
    <row r="177" spans="3:14" ht="15.75" customHeight="1" outlineLevel="1">
      <c r="C177" s="273" t="s">
        <v>111</v>
      </c>
      <c r="D177" s="274" t="s">
        <v>22</v>
      </c>
      <c r="E177" s="274"/>
      <c r="F177" s="90">
        <f>+F154+F161+F171+F174</f>
        <v>-119708.48</v>
      </c>
      <c r="G177" s="90">
        <f>+G154+G161+G171+G174</f>
        <v>-77544.703999999998</v>
      </c>
      <c r="H177" s="90">
        <f>+H154+H161+H171+H174</f>
        <v>-23224.600000000006</v>
      </c>
      <c r="I177" s="90">
        <f>+I154+I161+I171+I174</f>
        <v>221673.864</v>
      </c>
      <c r="J177" s="90">
        <f>+J154+J161+J171+J174</f>
        <v>405373.65600000008</v>
      </c>
      <c r="K177" s="90">
        <f t="shared" ref="K177:N177" si="58">+K154+K161+K171+K174</f>
        <v>585624.86302499985</v>
      </c>
      <c r="L177" s="90">
        <f t="shared" si="58"/>
        <v>777623.6680919996</v>
      </c>
      <c r="M177" s="90">
        <f t="shared" si="58"/>
        <v>969398.0742981151</v>
      </c>
      <c r="N177" s="90">
        <f t="shared" si="58"/>
        <v>1154067.8228925646</v>
      </c>
    </row>
    <row r="178" spans="3:14" ht="15.75" customHeight="1" outlineLevel="1">
      <c r="C178" s="87" t="s">
        <v>112</v>
      </c>
      <c r="D178" s="256" t="s">
        <v>22</v>
      </c>
      <c r="E178" s="256"/>
      <c r="F178" s="56"/>
      <c r="G178" s="56"/>
      <c r="H178" s="56"/>
      <c r="I178" s="56"/>
      <c r="J178" s="56">
        <f>J177-'H1-Results'!$D$35</f>
        <v>604245.58038768708</v>
      </c>
      <c r="K178" s="56">
        <f>K177</f>
        <v>585624.86302499985</v>
      </c>
      <c r="L178" s="56">
        <f t="shared" ref="L178:N178" si="59">L177</f>
        <v>777623.6680919996</v>
      </c>
      <c r="M178" s="56">
        <f t="shared" si="59"/>
        <v>969398.0742981151</v>
      </c>
      <c r="N178" s="56">
        <f t="shared" si="59"/>
        <v>1154067.8228925646</v>
      </c>
    </row>
    <row r="179" spans="3:14" ht="15.75" customHeight="1" outlineLevel="1">
      <c r="C179" s="87"/>
      <c r="D179" s="256"/>
      <c r="E179" s="256"/>
      <c r="F179" s="56"/>
      <c r="G179" s="56"/>
      <c r="H179" s="56"/>
      <c r="I179" s="56"/>
      <c r="J179" s="56"/>
      <c r="K179" s="56"/>
      <c r="L179" s="56"/>
      <c r="M179" s="56"/>
      <c r="N179" s="56"/>
    </row>
    <row r="180" spans="3:14" ht="15.75" customHeight="1" outlineLevel="1">
      <c r="C180" s="87" t="s">
        <v>113</v>
      </c>
      <c r="D180" s="256" t="s">
        <v>22</v>
      </c>
      <c r="E180" s="256"/>
      <c r="H180" s="292"/>
      <c r="I180" s="292"/>
      <c r="J180" s="56">
        <f>J178*J183</f>
        <v>575234.77551851654</v>
      </c>
      <c r="K180" s="56">
        <f t="shared" ref="K180:N180" si="60">K178*K183</f>
        <v>505259.46590532089</v>
      </c>
      <c r="L180" s="56">
        <f t="shared" si="60"/>
        <v>608033.80264888739</v>
      </c>
      <c r="M180" s="56">
        <f t="shared" si="60"/>
        <v>686947.75307605648</v>
      </c>
      <c r="N180" s="56">
        <f t="shared" si="60"/>
        <v>741167.19465310324</v>
      </c>
    </row>
    <row r="181" spans="3:14" ht="15.75" customHeight="1" outlineLevel="1">
      <c r="C181" s="88"/>
      <c r="H181" s="292"/>
      <c r="I181" s="292"/>
      <c r="J181" s="184"/>
      <c r="K181" s="184"/>
      <c r="L181" s="184"/>
      <c r="M181" s="184"/>
      <c r="N181" s="184"/>
    </row>
    <row r="182" spans="3:14" ht="15.75" customHeight="1" outlineLevel="1">
      <c r="C182" s="88" t="s">
        <v>114</v>
      </c>
      <c r="D182" s="256" t="s">
        <v>24</v>
      </c>
      <c r="E182" s="256"/>
      <c r="H182" s="292"/>
      <c r="I182" s="292"/>
      <c r="J182" s="183">
        <f>WACC</f>
        <v>0.10340944890525161</v>
      </c>
      <c r="K182" s="183">
        <f>WACC</f>
        <v>0.10340944890525161</v>
      </c>
      <c r="L182" s="183">
        <f>WACC</f>
        <v>0.10340944890525161</v>
      </c>
      <c r="M182" s="183">
        <f>WACC</f>
        <v>0.10340944890525161</v>
      </c>
      <c r="N182" s="183">
        <f>WACC</f>
        <v>0.10340944890525161</v>
      </c>
    </row>
    <row r="183" spans="3:14" ht="15.75" customHeight="1" outlineLevel="1">
      <c r="C183" s="88" t="s">
        <v>115</v>
      </c>
      <c r="D183" s="275" t="s">
        <v>116</v>
      </c>
      <c r="E183" s="275"/>
      <c r="H183" s="292"/>
      <c r="I183" s="292"/>
      <c r="J183" s="184">
        <f>1/((1+J182)^J185)</f>
        <v>0.95198838715451239</v>
      </c>
      <c r="K183" s="184">
        <f t="shared" ref="K183:N183" si="61">1/((1+K182)^K185)</f>
        <v>0.86276983408020325</v>
      </c>
      <c r="L183" s="184">
        <f t="shared" si="61"/>
        <v>0.78191267524145336</v>
      </c>
      <c r="M183" s="184">
        <f t="shared" si="61"/>
        <v>0.70863329656749674</v>
      </c>
      <c r="N183" s="184">
        <f t="shared" si="61"/>
        <v>0.64222152281781497</v>
      </c>
    </row>
    <row r="184" spans="3:14" ht="15.75" customHeight="1" outlineLevel="1">
      <c r="C184" s="88"/>
      <c r="H184" s="292"/>
      <c r="I184" s="292"/>
      <c r="J184" s="292"/>
      <c r="K184" s="332"/>
      <c r="L184" s="292"/>
      <c r="M184" s="292"/>
      <c r="N184" s="292"/>
    </row>
    <row r="185" spans="3:14" ht="15.75" customHeight="1" outlineLevel="1">
      <c r="C185" s="88" t="s">
        <v>117</v>
      </c>
      <c r="D185" s="275" t="s">
        <v>116</v>
      </c>
      <c r="E185" s="275"/>
      <c r="H185" s="292"/>
      <c r="I185" s="292"/>
      <c r="J185" s="91">
        <v>0.5</v>
      </c>
      <c r="K185" s="92">
        <f>J185+1</f>
        <v>1.5</v>
      </c>
      <c r="L185" s="92">
        <f t="shared" ref="L185:N185" si="62">K185+1</f>
        <v>2.5</v>
      </c>
      <c r="M185" s="92">
        <f t="shared" si="62"/>
        <v>3.5</v>
      </c>
      <c r="N185" s="92">
        <f t="shared" si="62"/>
        <v>4.5</v>
      </c>
    </row>
    <row r="186" spans="3:14" ht="15.75" customHeight="1" outlineLevel="1">
      <c r="C186" s="88"/>
      <c r="H186" s="292"/>
      <c r="I186" s="292"/>
      <c r="J186" s="292"/>
      <c r="K186" s="292"/>
      <c r="L186" s="292"/>
      <c r="M186" s="292"/>
      <c r="N186" s="292"/>
    </row>
    <row r="187" spans="3:14" ht="15.75" customHeight="1" outlineLevel="1">
      <c r="C187" s="276" t="s">
        <v>118</v>
      </c>
      <c r="D187" s="256" t="s">
        <v>24</v>
      </c>
      <c r="E187" s="256"/>
      <c r="F187" s="36"/>
      <c r="G187" s="36">
        <f>G177/F177 - 1</f>
        <v>-0.35222046090636183</v>
      </c>
      <c r="H187" s="36">
        <f t="shared" ref="H187:N187" si="63">H177/G177 - 1</f>
        <v>-0.70050050097554051</v>
      </c>
      <c r="I187" s="36">
        <f t="shared" si="63"/>
        <v>-10.544787165333307</v>
      </c>
      <c r="J187" s="36">
        <f t="shared" si="63"/>
        <v>0.82869395915794608</v>
      </c>
      <c r="K187" s="36">
        <f t="shared" si="63"/>
        <v>0.44465446719852886</v>
      </c>
      <c r="L187" s="36">
        <f t="shared" si="63"/>
        <v>0.32785289216589053</v>
      </c>
      <c r="M187" s="36">
        <f t="shared" si="63"/>
        <v>0.2466159584322567</v>
      </c>
      <c r="N187" s="36">
        <f t="shared" si="63"/>
        <v>0.190499396987309</v>
      </c>
    </row>
    <row r="188" spans="3:14" ht="15.75" customHeight="1" outlineLevel="1"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</row>
    <row r="189" spans="3:14" ht="15.75" customHeight="1" outlineLevel="1">
      <c r="C189" s="277" t="s">
        <v>119</v>
      </c>
      <c r="D189" s="278" t="s">
        <v>22</v>
      </c>
      <c r="E189" s="278"/>
      <c r="F189" s="93">
        <f>F149+F157+F158</f>
        <v>-25690</v>
      </c>
      <c r="G189" s="93">
        <f t="shared" ref="G189:N189" si="64">G149+G157+G158</f>
        <v>-8640</v>
      </c>
      <c r="H189" s="93">
        <f t="shared" si="64"/>
        <v>85372</v>
      </c>
      <c r="I189" s="93">
        <f t="shared" si="64"/>
        <v>222835</v>
      </c>
      <c r="J189" s="93">
        <f t="shared" si="64"/>
        <v>432106.49599999998</v>
      </c>
      <c r="K189" s="93">
        <f t="shared" si="64"/>
        <v>622334.14057499985</v>
      </c>
      <c r="L189" s="93">
        <f t="shared" si="64"/>
        <v>822292.22789999959</v>
      </c>
      <c r="M189" s="93">
        <f t="shared" si="64"/>
        <v>1021793.5574336252</v>
      </c>
      <c r="N189" s="93">
        <f t="shared" si="64"/>
        <v>1215011.3173257376</v>
      </c>
    </row>
    <row r="190" spans="3:14" ht="15.75" customHeight="1" outlineLevel="1">
      <c r="C190" s="257" t="s">
        <v>120</v>
      </c>
      <c r="D190" s="256" t="s">
        <v>24</v>
      </c>
      <c r="E190" s="256"/>
      <c r="F190" s="36"/>
      <c r="G190" s="36">
        <f>G189/F189 - 1</f>
        <v>-0.66368236667964187</v>
      </c>
      <c r="H190" s="36">
        <f t="shared" ref="H190:N190" si="65">H189/G189 - 1</f>
        <v>-10.881018518518518</v>
      </c>
      <c r="I190" s="36">
        <f t="shared" si="65"/>
        <v>1.6101649252682377</v>
      </c>
      <c r="J190" s="36">
        <f t="shared" si="65"/>
        <v>0.93913207530235376</v>
      </c>
      <c r="K190" s="36">
        <f t="shared" si="65"/>
        <v>0.44023324420237331</v>
      </c>
      <c r="L190" s="36">
        <f t="shared" si="65"/>
        <v>0.32130341931787698</v>
      </c>
      <c r="M190" s="36">
        <f t="shared" si="65"/>
        <v>0.24261609530606831</v>
      </c>
      <c r="N190" s="36">
        <f t="shared" si="65"/>
        <v>0.18909667073787917</v>
      </c>
    </row>
    <row r="191" spans="3:14" ht="15.75" customHeight="1" outlineLevel="1">
      <c r="C191" s="292"/>
      <c r="H191" s="292"/>
      <c r="I191" s="292"/>
      <c r="J191" s="292"/>
      <c r="K191" s="292"/>
      <c r="L191" s="292"/>
      <c r="M191" s="292"/>
      <c r="N191" s="292"/>
    </row>
    <row r="192" spans="3:14" ht="15.75" customHeight="1" outlineLevel="1">
      <c r="C192" s="277" t="s">
        <v>121</v>
      </c>
      <c r="D192" s="278" t="s">
        <v>22</v>
      </c>
      <c r="E192" s="278"/>
      <c r="F192" s="93">
        <f>F154-F85</f>
        <v>-87961</v>
      </c>
      <c r="G192" s="93">
        <f t="shared" ref="G192:N192" si="66">G154-G85</f>
        <v>-264732</v>
      </c>
      <c r="H192" s="93">
        <f t="shared" si="66"/>
        <v>43743.8</v>
      </c>
      <c r="I192" s="93">
        <f t="shared" si="66"/>
        <v>-101362</v>
      </c>
      <c r="J192" s="93">
        <f t="shared" si="66"/>
        <v>307577.89600000001</v>
      </c>
      <c r="K192" s="93">
        <f t="shared" si="66"/>
        <v>443635.21897499985</v>
      </c>
      <c r="L192" s="93">
        <f t="shared" si="66"/>
        <v>639512.86687599961</v>
      </c>
      <c r="M192" s="93">
        <f t="shared" si="66"/>
        <v>842413.9447232252</v>
      </c>
      <c r="N192" s="93">
        <f t="shared" si="66"/>
        <v>1053810.5882003615</v>
      </c>
    </row>
    <row r="193" spans="2:14" ht="15.75" customHeight="1" outlineLevel="1">
      <c r="B193" s="292"/>
      <c r="C193" s="257" t="s">
        <v>122</v>
      </c>
      <c r="D193" s="256" t="s">
        <v>24</v>
      </c>
      <c r="E193" s="256"/>
      <c r="F193" s="36"/>
      <c r="G193" s="36">
        <f>G192/F192 - 1</f>
        <v>2.0096520048657927</v>
      </c>
      <c r="H193" s="36">
        <f t="shared" ref="H193" si="67">H192/G192 - 1</f>
        <v>-1.1652380520677514</v>
      </c>
      <c r="I193" s="36">
        <f t="shared" ref="I193" si="68">I192/H192 - 1</f>
        <v>-3.3171740909568896</v>
      </c>
      <c r="J193" s="36">
        <f t="shared" ref="J193" si="69">J192/I192 - 1</f>
        <v>-4.0344497543458102</v>
      </c>
      <c r="K193" s="36">
        <f t="shared" ref="K193" si="70">K192/J192 - 1</f>
        <v>0.44235078249901227</v>
      </c>
      <c r="L193" s="36">
        <f t="shared" ref="L193" si="71">L192/K192 - 1</f>
        <v>0.44152862424576367</v>
      </c>
      <c r="M193" s="36">
        <f t="shared" ref="M193" si="72">M192/L192 - 1</f>
        <v>0.31727442613999468</v>
      </c>
      <c r="N193" s="36">
        <f t="shared" ref="N193" si="73">N192/M192 - 1</f>
        <v>0.25094152916306545</v>
      </c>
    </row>
    <row r="194" spans="2:14" ht="15.75" customHeight="1">
      <c r="B194" s="292"/>
      <c r="C194" s="292"/>
      <c r="H194" s="292"/>
      <c r="I194" s="292"/>
      <c r="J194" s="292"/>
      <c r="K194" s="292"/>
      <c r="L194" s="292"/>
      <c r="M194" s="292"/>
      <c r="N194" s="292"/>
    </row>
    <row r="195" spans="2:14" ht="15.75" customHeight="1">
      <c r="B195" s="25" t="s">
        <v>123</v>
      </c>
      <c r="C195" s="25"/>
      <c r="D195" s="57"/>
      <c r="E195" s="57"/>
      <c r="F195" s="58"/>
      <c r="G195" s="58"/>
      <c r="H195" s="59"/>
      <c r="I195" s="59"/>
      <c r="J195" s="59"/>
      <c r="K195" s="59"/>
      <c r="L195" s="59"/>
      <c r="M195" s="59"/>
      <c r="N195" s="59"/>
    </row>
    <row r="196" spans="2:14" ht="15.75" customHeight="1" outlineLevel="1">
      <c r="B196" s="292"/>
      <c r="C196" s="292"/>
      <c r="H196" s="292"/>
      <c r="I196" s="292"/>
      <c r="J196" s="292"/>
      <c r="K196" s="292"/>
      <c r="L196" s="292"/>
      <c r="M196" s="292"/>
      <c r="N196" s="292"/>
    </row>
    <row r="197" spans="2:14" ht="15.75" customHeight="1" outlineLevel="1">
      <c r="B197" s="292"/>
      <c r="C197" s="4" t="s">
        <v>124</v>
      </c>
      <c r="G197" s="292"/>
      <c r="H197" s="292"/>
      <c r="I197" s="292"/>
      <c r="J197" s="292"/>
      <c r="K197" s="292"/>
      <c r="L197" s="292"/>
      <c r="M197" s="292"/>
      <c r="N197" s="292"/>
    </row>
    <row r="198" spans="2:14" ht="15.75" customHeight="1" outlineLevel="1">
      <c r="C198" s="292"/>
      <c r="H198" s="292"/>
      <c r="I198" s="292"/>
      <c r="J198" s="292"/>
      <c r="K198" s="292"/>
      <c r="L198" s="292"/>
      <c r="M198" s="292"/>
      <c r="N198" s="292"/>
    </row>
    <row r="199" spans="2:14" ht="15.75" customHeight="1" outlineLevel="1">
      <c r="B199" s="292"/>
      <c r="C199" s="94"/>
      <c r="D199" s="95"/>
      <c r="E199" s="96" t="s">
        <v>125</v>
      </c>
      <c r="F199" s="96"/>
      <c r="G199" s="96"/>
      <c r="H199" s="96"/>
      <c r="I199" s="96"/>
      <c r="J199" s="96"/>
      <c r="K199" s="96"/>
      <c r="L199" s="96"/>
      <c r="M199" s="97"/>
    </row>
    <row r="200" spans="2:14" ht="15.75" customHeight="1" outlineLevel="1">
      <c r="B200" s="292"/>
      <c r="C200" s="98"/>
      <c r="D200" s="583">
        <f>N116</f>
        <v>224.83591937416227</v>
      </c>
      <c r="E200" s="251">
        <v>0.01</v>
      </c>
      <c r="F200" s="251">
        <f>E200+0.25%</f>
        <v>1.2500000000000001E-2</v>
      </c>
      <c r="G200" s="251">
        <f t="shared" ref="G200:M200" si="74">F200+0.25%</f>
        <v>1.5000000000000001E-2</v>
      </c>
      <c r="H200" s="251">
        <f t="shared" si="74"/>
        <v>1.7500000000000002E-2</v>
      </c>
      <c r="I200" s="251">
        <f t="shared" si="74"/>
        <v>0.02</v>
      </c>
      <c r="J200" s="251">
        <f t="shared" si="74"/>
        <v>2.2499999999999999E-2</v>
      </c>
      <c r="K200" s="251">
        <f t="shared" si="74"/>
        <v>2.4999999999999998E-2</v>
      </c>
      <c r="L200" s="251">
        <f t="shared" si="74"/>
        <v>2.7499999999999997E-2</v>
      </c>
      <c r="M200" s="585">
        <f t="shared" si="74"/>
        <v>2.9999999999999995E-2</v>
      </c>
    </row>
    <row r="201" spans="2:14" ht="15.75" customHeight="1" outlineLevel="1">
      <c r="B201" s="292"/>
      <c r="C201" s="570" t="s">
        <v>402</v>
      </c>
      <c r="D201" s="241">
        <v>8.5000000000000006E-2</v>
      </c>
      <c r="E201" s="99">
        <f t="dataTable" ref="E201:M209" dt2D="1" dtr="1" r1="N92" r2="J182"/>
        <v>205.45279392898428</v>
      </c>
      <c r="F201" s="100">
        <v>209.91947912089586</v>
      </c>
      <c r="G201" s="100">
        <v>214.63877787658487</v>
      </c>
      <c r="H201" s="100">
        <v>219.6327436692429</v>
      </c>
      <c r="I201" s="333">
        <v>224.92607397384796</v>
      </c>
      <c r="J201" s="100">
        <v>230.54651874877914</v>
      </c>
      <c r="K201" s="100">
        <v>236.52536706138375</v>
      </c>
      <c r="L201" s="100">
        <v>242.89802987263303</v>
      </c>
      <c r="M201" s="334">
        <v>249.70474190413154</v>
      </c>
    </row>
    <row r="202" spans="2:14" ht="15.75" customHeight="1" outlineLevel="1">
      <c r="B202" s="292"/>
      <c r="C202" s="571"/>
      <c r="D202" s="241">
        <f>D201+0.5%</f>
        <v>9.0000000000000011E-2</v>
      </c>
      <c r="E202" s="101">
        <v>205.42808218982313</v>
      </c>
      <c r="F202" s="102">
        <v>209.89476738173468</v>
      </c>
      <c r="G202" s="102">
        <v>214.61406613742372</v>
      </c>
      <c r="H202" s="102">
        <v>219.60803193008172</v>
      </c>
      <c r="I202" s="332">
        <v>224.90136223468679</v>
      </c>
      <c r="J202" s="102">
        <v>230.52180700961799</v>
      </c>
      <c r="K202" s="102">
        <v>236.50065532222254</v>
      </c>
      <c r="L202" s="102">
        <v>242.87331813347188</v>
      </c>
      <c r="M202" s="332">
        <v>249.68003016497039</v>
      </c>
    </row>
    <row r="203" spans="2:14" ht="15.75" customHeight="1" outlineLevel="1">
      <c r="B203" s="292"/>
      <c r="C203" s="571"/>
      <c r="D203" s="241">
        <f t="shared" ref="D203:D209" si="75">D202+0.5%</f>
        <v>9.5000000000000015E-2</v>
      </c>
      <c r="E203" s="101">
        <v>205.40353990295779</v>
      </c>
      <c r="F203" s="102">
        <v>209.87022509486937</v>
      </c>
      <c r="G203" s="102">
        <v>214.58952385055841</v>
      </c>
      <c r="H203" s="102">
        <v>219.58348964321641</v>
      </c>
      <c r="I203" s="332">
        <v>224.87681994782147</v>
      </c>
      <c r="J203" s="102">
        <v>230.49726472275267</v>
      </c>
      <c r="K203" s="102">
        <v>236.47611303535723</v>
      </c>
      <c r="L203" s="102">
        <v>242.84877584660657</v>
      </c>
      <c r="M203" s="332">
        <v>249.65548787810508</v>
      </c>
    </row>
    <row r="204" spans="2:14" ht="15.75" customHeight="1" outlineLevel="1">
      <c r="B204" s="292"/>
      <c r="C204" s="571"/>
      <c r="D204" s="241">
        <f t="shared" si="75"/>
        <v>0.10000000000000002</v>
      </c>
      <c r="E204" s="101">
        <v>205.37916514059748</v>
      </c>
      <c r="F204" s="102">
        <v>209.84585033250906</v>
      </c>
      <c r="G204" s="102">
        <v>214.5651490881981</v>
      </c>
      <c r="H204" s="102">
        <v>219.5591148808561</v>
      </c>
      <c r="I204" s="332">
        <v>224.85244518546119</v>
      </c>
      <c r="J204" s="102">
        <v>230.47288996039237</v>
      </c>
      <c r="K204" s="102">
        <v>236.45173827299695</v>
      </c>
      <c r="L204" s="102">
        <v>242.82440108424626</v>
      </c>
      <c r="M204" s="332">
        <v>249.63111311574477</v>
      </c>
    </row>
    <row r="205" spans="2:14" ht="15.75" customHeight="1" outlineLevel="1">
      <c r="B205" s="292"/>
      <c r="C205" s="571"/>
      <c r="D205" s="241">
        <f t="shared" si="75"/>
        <v>0.10500000000000002</v>
      </c>
      <c r="E205" s="101">
        <v>205.35495600551678</v>
      </c>
      <c r="F205" s="102">
        <v>209.82164119742831</v>
      </c>
      <c r="G205" s="102">
        <v>214.54093995311734</v>
      </c>
      <c r="H205" s="102">
        <v>219.53490574577538</v>
      </c>
      <c r="I205" s="332">
        <v>224.82823605038044</v>
      </c>
      <c r="J205" s="102">
        <v>230.44868082531164</v>
      </c>
      <c r="K205" s="102">
        <v>236.4275291379162</v>
      </c>
      <c r="L205" s="102">
        <v>242.80019194916551</v>
      </c>
      <c r="M205" s="332">
        <v>249.60690398066401</v>
      </c>
    </row>
    <row r="206" spans="2:14" ht="15.75" customHeight="1" outlineLevel="1">
      <c r="B206" s="292"/>
      <c r="C206" s="571"/>
      <c r="D206" s="241">
        <f t="shared" si="75"/>
        <v>0.11000000000000003</v>
      </c>
      <c r="E206" s="101">
        <v>205.33091063043514</v>
      </c>
      <c r="F206" s="102">
        <v>209.79759582234672</v>
      </c>
      <c r="G206" s="102">
        <v>214.51689457803576</v>
      </c>
      <c r="H206" s="102">
        <v>219.51086037069376</v>
      </c>
      <c r="I206" s="332">
        <v>224.80419067529886</v>
      </c>
      <c r="J206" s="102">
        <v>230.42463545023003</v>
      </c>
      <c r="K206" s="102">
        <v>236.40348376283461</v>
      </c>
      <c r="L206" s="102">
        <v>242.77614657408392</v>
      </c>
      <c r="M206" s="332">
        <v>249.58285860558243</v>
      </c>
    </row>
    <row r="207" spans="2:14" ht="15.75" customHeight="1" outlineLevel="1">
      <c r="B207" s="292"/>
      <c r="C207" s="571"/>
      <c r="D207" s="241">
        <f t="shared" si="75"/>
        <v>0.11500000000000003</v>
      </c>
      <c r="E207" s="101">
        <v>205.30702717741238</v>
      </c>
      <c r="F207" s="102">
        <v>209.7737123693239</v>
      </c>
      <c r="G207" s="102">
        <v>214.49301112501294</v>
      </c>
      <c r="H207" s="102">
        <v>219.48697691767097</v>
      </c>
      <c r="I207" s="332">
        <v>224.78030722227604</v>
      </c>
      <c r="J207" s="102">
        <v>230.40075199720724</v>
      </c>
      <c r="K207" s="102">
        <v>236.37960030981179</v>
      </c>
      <c r="L207" s="102">
        <v>242.75226312106111</v>
      </c>
      <c r="M207" s="332">
        <v>249.55897515255961</v>
      </c>
    </row>
    <row r="208" spans="2:14" ht="15.75" customHeight="1" outlineLevel="1">
      <c r="B208" s="292"/>
      <c r="C208" s="571"/>
      <c r="D208" s="241">
        <f t="shared" si="75"/>
        <v>0.12000000000000004</v>
      </c>
      <c r="E208" s="101">
        <v>205.28330383725805</v>
      </c>
      <c r="F208" s="102">
        <v>209.74998902916963</v>
      </c>
      <c r="G208" s="102">
        <v>214.46928778485866</v>
      </c>
      <c r="H208" s="102">
        <v>219.46325357751667</v>
      </c>
      <c r="I208" s="332">
        <v>224.75658388212176</v>
      </c>
      <c r="J208" s="102">
        <v>230.37702865705293</v>
      </c>
      <c r="K208" s="102">
        <v>236.35587696965752</v>
      </c>
      <c r="L208" s="102">
        <v>242.72853978090683</v>
      </c>
      <c r="M208" s="332">
        <v>249.53525181240533</v>
      </c>
    </row>
    <row r="209" spans="3:14" ht="15.75" customHeight="1" outlineLevel="1">
      <c r="C209" s="572"/>
      <c r="D209" s="241">
        <f t="shared" si="75"/>
        <v>0.12500000000000003</v>
      </c>
      <c r="E209" s="335">
        <v>205.25973882895633</v>
      </c>
      <c r="F209" s="332">
        <v>209.72642402086791</v>
      </c>
      <c r="G209" s="332">
        <v>214.44572277655689</v>
      </c>
      <c r="H209" s="332">
        <v>219.43968856921495</v>
      </c>
      <c r="I209" s="332">
        <v>224.73301887381999</v>
      </c>
      <c r="J209" s="332">
        <v>230.35346364875119</v>
      </c>
      <c r="K209" s="332">
        <v>236.33231196135577</v>
      </c>
      <c r="L209" s="332">
        <v>242.70497477260508</v>
      </c>
      <c r="M209" s="332">
        <v>249.51168680410359</v>
      </c>
    </row>
    <row r="210" spans="3:14" ht="15.75" customHeight="1" outlineLevel="1">
      <c r="C210" s="6"/>
      <c r="G210" s="292"/>
      <c r="H210" s="292"/>
      <c r="I210" s="292"/>
      <c r="J210" s="292"/>
      <c r="K210" s="292"/>
      <c r="L210" s="292"/>
      <c r="M210" s="292"/>
      <c r="N210" s="292"/>
    </row>
    <row r="211" spans="3:14" ht="15.75" customHeight="1" outlineLevel="1">
      <c r="C211" s="4" t="s">
        <v>126</v>
      </c>
      <c r="G211" s="292"/>
      <c r="H211" s="292"/>
      <c r="I211" s="292"/>
      <c r="J211" s="292"/>
      <c r="K211" s="292"/>
      <c r="L211" s="292"/>
      <c r="M211" s="292"/>
      <c r="N211" s="292"/>
    </row>
    <row r="212" spans="3:14" ht="15.75" customHeight="1" outlineLevel="1">
      <c r="C212" s="6"/>
      <c r="G212" s="292"/>
      <c r="H212" s="292"/>
      <c r="I212" s="292"/>
      <c r="J212" s="292"/>
      <c r="K212" s="292"/>
      <c r="L212" s="292"/>
      <c r="M212" s="292"/>
      <c r="N212" s="292"/>
    </row>
    <row r="213" spans="3:14" ht="15.75" customHeight="1" outlineLevel="1">
      <c r="C213" s="94"/>
      <c r="D213" s="95"/>
      <c r="E213" s="96" t="s">
        <v>127</v>
      </c>
      <c r="F213" s="96"/>
      <c r="G213" s="96"/>
      <c r="H213" s="96"/>
      <c r="I213" s="96"/>
      <c r="J213" s="96"/>
      <c r="K213" s="96"/>
      <c r="L213" s="96"/>
      <c r="M213" s="97"/>
    </row>
    <row r="214" spans="3:14" ht="15.75" customHeight="1" outlineLevel="1">
      <c r="C214" s="98"/>
      <c r="D214" s="583">
        <f>G116</f>
        <v>259.35541446605379</v>
      </c>
      <c r="E214" s="103">
        <v>10</v>
      </c>
      <c r="F214" s="103">
        <f>E214+1</f>
        <v>11</v>
      </c>
      <c r="G214" s="103">
        <f t="shared" ref="G214:M214" si="76">F214+1</f>
        <v>12</v>
      </c>
      <c r="H214" s="103">
        <f t="shared" si="76"/>
        <v>13</v>
      </c>
      <c r="I214" s="103">
        <f t="shared" si="76"/>
        <v>14</v>
      </c>
      <c r="J214" s="103">
        <f t="shared" si="76"/>
        <v>15</v>
      </c>
      <c r="K214" s="103">
        <f t="shared" si="76"/>
        <v>16</v>
      </c>
      <c r="L214" s="103">
        <f t="shared" si="76"/>
        <v>17</v>
      </c>
      <c r="M214" s="584">
        <f t="shared" si="76"/>
        <v>18</v>
      </c>
    </row>
    <row r="215" spans="3:14" ht="15.75" customHeight="1" outlineLevel="1">
      <c r="C215" s="570" t="s">
        <v>402</v>
      </c>
      <c r="D215" s="241">
        <v>8.5000000000000006E-2</v>
      </c>
      <c r="E215" s="99">
        <f t="dataTable" ref="E215:M223" dt2D="1" dtr="1" r1="G92" r2="J182" ca="1"/>
        <v>201.54038391975561</v>
      </c>
      <c r="F215" s="100">
        <v>216.01668020625161</v>
      </c>
      <c r="G215" s="100">
        <v>230.4929764927476</v>
      </c>
      <c r="H215" s="100">
        <v>244.96927277924354</v>
      </c>
      <c r="I215" s="333">
        <v>259.44556906573951</v>
      </c>
      <c r="J215" s="100">
        <v>273.92186535223544</v>
      </c>
      <c r="K215" s="100">
        <v>288.39816163873144</v>
      </c>
      <c r="L215" s="100">
        <v>302.87445792522738</v>
      </c>
      <c r="M215" s="334">
        <v>317.35075421172337</v>
      </c>
    </row>
    <row r="216" spans="3:14" ht="15.75" customHeight="1" outlineLevel="1">
      <c r="C216" s="571"/>
      <c r="D216" s="241">
        <f>D215+0.5%</f>
        <v>9.0000000000000011E-2</v>
      </c>
      <c r="E216" s="101">
        <v>201.51567218059446</v>
      </c>
      <c r="F216" s="102">
        <v>215.99196846709046</v>
      </c>
      <c r="G216" s="102">
        <v>230.46826475358642</v>
      </c>
      <c r="H216" s="102">
        <v>244.94456104008239</v>
      </c>
      <c r="I216" s="332">
        <v>259.42085732657836</v>
      </c>
      <c r="J216" s="102">
        <v>273.89715361307429</v>
      </c>
      <c r="K216" s="102">
        <v>288.37344989957029</v>
      </c>
      <c r="L216" s="102">
        <v>302.84974618606628</v>
      </c>
      <c r="M216" s="332">
        <v>317.32604247256222</v>
      </c>
    </row>
    <row r="217" spans="3:14" ht="15.75" customHeight="1" outlineLevel="1">
      <c r="C217" s="571"/>
      <c r="D217" s="241">
        <f t="shared" ref="D217:D223" si="77">D216+0.5%</f>
        <v>9.5000000000000015E-2</v>
      </c>
      <c r="E217" s="101">
        <v>201.49112989372915</v>
      </c>
      <c r="F217" s="102">
        <v>215.96742618022515</v>
      </c>
      <c r="G217" s="102">
        <v>230.44372246672111</v>
      </c>
      <c r="H217" s="102">
        <v>244.92001875321708</v>
      </c>
      <c r="I217" s="332">
        <v>259.39631503971304</v>
      </c>
      <c r="J217" s="102">
        <v>273.87261132620898</v>
      </c>
      <c r="K217" s="102">
        <v>288.34890761270492</v>
      </c>
      <c r="L217" s="102">
        <v>302.82520389920091</v>
      </c>
      <c r="M217" s="332">
        <v>317.30150018569685</v>
      </c>
    </row>
    <row r="218" spans="3:14" ht="15.75" customHeight="1" outlineLevel="1">
      <c r="C218" s="571"/>
      <c r="D218" s="241">
        <f t="shared" si="77"/>
        <v>0.10000000000000002</v>
      </c>
      <c r="E218" s="101">
        <v>201.46675513136884</v>
      </c>
      <c r="F218" s="102">
        <v>215.94305141786484</v>
      </c>
      <c r="G218" s="102">
        <v>230.4193477043608</v>
      </c>
      <c r="H218" s="102">
        <v>244.89564399085677</v>
      </c>
      <c r="I218" s="332">
        <v>259.37194027735273</v>
      </c>
      <c r="J218" s="102">
        <v>273.84823656384867</v>
      </c>
      <c r="K218" s="102">
        <v>288.32453285034461</v>
      </c>
      <c r="L218" s="102">
        <v>302.8008291368406</v>
      </c>
      <c r="M218" s="332">
        <v>317.27712542333654</v>
      </c>
    </row>
    <row r="219" spans="3:14" ht="15.75" customHeight="1" outlineLevel="1">
      <c r="C219" s="571"/>
      <c r="D219" s="241">
        <f t="shared" si="77"/>
        <v>0.10500000000000002</v>
      </c>
      <c r="E219" s="101">
        <v>201.44254599628812</v>
      </c>
      <c r="F219" s="102">
        <v>215.91884228278411</v>
      </c>
      <c r="G219" s="102">
        <v>230.39513856928008</v>
      </c>
      <c r="H219" s="102">
        <v>244.87143485577602</v>
      </c>
      <c r="I219" s="332">
        <v>259.34773114227198</v>
      </c>
      <c r="J219" s="102">
        <v>273.82402742876798</v>
      </c>
      <c r="K219" s="102">
        <v>288.30032371526386</v>
      </c>
      <c r="L219" s="102">
        <v>302.77662000175991</v>
      </c>
      <c r="M219" s="332">
        <v>317.2529162882559</v>
      </c>
    </row>
    <row r="220" spans="3:14" ht="15.75" customHeight="1" outlineLevel="1">
      <c r="C220" s="571"/>
      <c r="D220" s="241">
        <f t="shared" si="77"/>
        <v>0.11000000000000003</v>
      </c>
      <c r="E220" s="101">
        <v>201.4185006212065</v>
      </c>
      <c r="F220" s="102">
        <v>215.8947969077025</v>
      </c>
      <c r="G220" s="102">
        <v>230.37109319419847</v>
      </c>
      <c r="H220" s="102">
        <v>244.84738948069443</v>
      </c>
      <c r="I220" s="332">
        <v>259.3236857671904</v>
      </c>
      <c r="J220" s="102">
        <v>273.79998205368634</v>
      </c>
      <c r="K220" s="102">
        <v>288.27627834018227</v>
      </c>
      <c r="L220" s="102">
        <v>302.75257462667827</v>
      </c>
      <c r="M220" s="332">
        <v>317.22887091317421</v>
      </c>
    </row>
    <row r="221" spans="3:14" ht="15.75" customHeight="1" outlineLevel="1">
      <c r="C221" s="571"/>
      <c r="D221" s="241">
        <f t="shared" si="77"/>
        <v>0.11500000000000003</v>
      </c>
      <c r="E221" s="101">
        <v>201.39461716818371</v>
      </c>
      <c r="F221" s="102">
        <v>215.87091345467971</v>
      </c>
      <c r="G221" s="102">
        <v>230.34720974117567</v>
      </c>
      <c r="H221" s="102">
        <v>244.82350602767161</v>
      </c>
      <c r="I221" s="332">
        <v>259.29980231416761</v>
      </c>
      <c r="J221" s="102">
        <v>273.77609860066354</v>
      </c>
      <c r="K221" s="102">
        <v>288.25239488715948</v>
      </c>
      <c r="L221" s="102">
        <v>302.72869117365548</v>
      </c>
      <c r="M221" s="332">
        <v>317.20498746015147</v>
      </c>
    </row>
    <row r="222" spans="3:14" ht="15.75" customHeight="1" outlineLevel="1">
      <c r="C222" s="571"/>
      <c r="D222" s="241">
        <f t="shared" si="77"/>
        <v>0.12000000000000004</v>
      </c>
      <c r="E222" s="101">
        <v>201.37089382802941</v>
      </c>
      <c r="F222" s="102">
        <v>215.8471901145254</v>
      </c>
      <c r="G222" s="102">
        <v>230.32348640102137</v>
      </c>
      <c r="H222" s="102">
        <v>244.79978268751734</v>
      </c>
      <c r="I222" s="332">
        <v>259.27607897401333</v>
      </c>
      <c r="J222" s="102">
        <v>273.75237526050927</v>
      </c>
      <c r="K222" s="102">
        <v>288.22867154700521</v>
      </c>
      <c r="L222" s="102">
        <v>302.70496783350114</v>
      </c>
      <c r="M222" s="332">
        <v>317.18126411999714</v>
      </c>
    </row>
    <row r="223" spans="3:14" ht="15.75" customHeight="1" outlineLevel="1">
      <c r="C223" s="572"/>
      <c r="D223" s="241">
        <f t="shared" si="77"/>
        <v>0.12500000000000003</v>
      </c>
      <c r="E223" s="335">
        <v>201.34732881972766</v>
      </c>
      <c r="F223" s="332">
        <v>215.82362510622366</v>
      </c>
      <c r="G223" s="332">
        <v>230.29992139271965</v>
      </c>
      <c r="H223" s="332">
        <v>244.77621767921559</v>
      </c>
      <c r="I223" s="332">
        <v>259.25251396571156</v>
      </c>
      <c r="J223" s="332">
        <v>273.7288102522075</v>
      </c>
      <c r="K223" s="332">
        <v>288.20510653870349</v>
      </c>
      <c r="L223" s="332">
        <v>302.68140282519943</v>
      </c>
      <c r="M223" s="332">
        <v>317.15769911169542</v>
      </c>
    </row>
  </sheetData>
  <mergeCells count="3">
    <mergeCell ref="C201:C209"/>
    <mergeCell ref="C215:C223"/>
    <mergeCell ref="K90:N90"/>
  </mergeCells>
  <phoneticPr fontId="54" type="noConversion"/>
  <dataValidations count="1">
    <dataValidation type="list" allowBlank="1" showInputMessage="1" showErrorMessage="1" sqref="D14" xr:uid="{00000000-0002-0000-0000-000001000000}">
      <formula1>$Q$4:$Q$7</formula1>
    </dataValidation>
  </dataValidations>
  <pageMargins left="0.7" right="0.7" top="0.75" bottom="0.75" header="0.3" footer="0.3"/>
  <pageSetup scale="34" orientation="portrait" r:id="rId1"/>
  <rowBreaks count="6" manualBreakCount="6">
    <brk id="33" max="19" man="1"/>
    <brk id="61" max="19" man="1"/>
    <brk id="66" max="19" man="1"/>
    <brk id="86" max="19" man="1"/>
    <brk id="125" max="19" man="1"/>
    <brk id="194" max="1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2045-A0AB-4463-ACF9-D186A628A9D8}">
  <dimension ref="B1:I47"/>
  <sheetViews>
    <sheetView topLeftCell="A8" zoomScale="106" workbookViewId="0">
      <selection activeCell="H22" sqref="H22"/>
    </sheetView>
  </sheetViews>
  <sheetFormatPr defaultColWidth="10.77734375" defaultRowHeight="13.8" outlineLevelRow="1"/>
  <cols>
    <col min="1" max="1" width="2.77734375" style="505" customWidth="1"/>
    <col min="2" max="2" width="40.77734375" style="505" customWidth="1"/>
    <col min="3" max="6" width="16.77734375" style="505" customWidth="1"/>
    <col min="7" max="7" width="40.77734375" style="505" customWidth="1"/>
    <col min="8" max="13" width="16.77734375" style="505" customWidth="1"/>
    <col min="14" max="16384" width="10.77734375" style="505"/>
  </cols>
  <sheetData>
    <row r="1" spans="2:9" ht="13.2" customHeight="1" outlineLevel="1" thickBot="1">
      <c r="B1" s="504"/>
      <c r="C1" s="504"/>
      <c r="D1" s="504"/>
      <c r="E1" s="504"/>
      <c r="F1" s="504"/>
      <c r="G1" s="504"/>
      <c r="H1" s="504"/>
      <c r="I1" s="504"/>
    </row>
    <row r="2" spans="2:9" ht="13.2" customHeight="1" outlineLevel="1">
      <c r="B2" s="504"/>
      <c r="C2" s="536" t="s">
        <v>385</v>
      </c>
      <c r="D2" s="536" t="s">
        <v>386</v>
      </c>
      <c r="E2" s="536" t="s">
        <v>341</v>
      </c>
      <c r="F2" s="504"/>
      <c r="G2" s="532" t="s">
        <v>342</v>
      </c>
      <c r="H2" s="533"/>
      <c r="I2" s="504"/>
    </row>
    <row r="3" spans="2:9" ht="13.2" customHeight="1" outlineLevel="1" thickBot="1">
      <c r="B3" s="504"/>
      <c r="C3" s="537" t="s">
        <v>235</v>
      </c>
      <c r="D3" s="536" t="s">
        <v>9</v>
      </c>
      <c r="E3" s="536" t="s">
        <v>343</v>
      </c>
      <c r="F3" s="504"/>
      <c r="G3" s="534" t="s">
        <v>1</v>
      </c>
      <c r="H3" s="535"/>
      <c r="I3" s="504"/>
    </row>
    <row r="4" spans="2:9" ht="13.2" customHeight="1" outlineLevel="1">
      <c r="B4" s="504"/>
      <c r="C4" s="504"/>
      <c r="D4" s="504"/>
      <c r="E4" s="504"/>
      <c r="F4" s="504"/>
      <c r="G4" s="506"/>
      <c r="H4" s="507"/>
      <c r="I4" s="504"/>
    </row>
    <row r="5" spans="2:9" ht="13.2" customHeight="1" outlineLevel="1">
      <c r="B5" s="508" t="s">
        <v>339</v>
      </c>
      <c r="C5" s="504"/>
      <c r="D5" s="504"/>
      <c r="E5" s="504"/>
      <c r="F5" s="504"/>
      <c r="G5" s="509" t="s">
        <v>344</v>
      </c>
      <c r="H5" s="510">
        <f>Valuation_Date</f>
        <v>45962</v>
      </c>
      <c r="I5" s="504"/>
    </row>
    <row r="6" spans="2:9" ht="13.2" customHeight="1" outlineLevel="1">
      <c r="B6" s="511" t="s">
        <v>345</v>
      </c>
      <c r="C6" s="512">
        <v>90.6</v>
      </c>
      <c r="D6" s="504"/>
      <c r="E6" s="504"/>
      <c r="F6" s="504"/>
      <c r="G6" s="506"/>
      <c r="H6" s="507"/>
      <c r="I6" s="504"/>
    </row>
    <row r="7" spans="2:9" ht="13.2" customHeight="1" outlineLevel="1">
      <c r="B7" s="511" t="s">
        <v>346</v>
      </c>
      <c r="C7" s="513">
        <v>172900000</v>
      </c>
      <c r="D7" s="504"/>
      <c r="E7" s="504"/>
      <c r="F7" s="504"/>
      <c r="G7" s="509" t="s">
        <v>347</v>
      </c>
      <c r="H7" s="507"/>
    </row>
    <row r="8" spans="2:9" ht="13.2" customHeight="1" outlineLevel="1">
      <c r="B8" s="511" t="s">
        <v>387</v>
      </c>
      <c r="C8" s="512">
        <v>0.13</v>
      </c>
      <c r="D8" s="504"/>
      <c r="E8" s="504"/>
      <c r="F8" s="504"/>
      <c r="G8" s="506" t="s">
        <v>349</v>
      </c>
      <c r="H8" s="514">
        <v>0.5</v>
      </c>
      <c r="I8" s="504"/>
    </row>
    <row r="9" spans="2:9" ht="13.2" customHeight="1" outlineLevel="1">
      <c r="B9" s="511" t="s">
        <v>350</v>
      </c>
      <c r="C9" s="526">
        <f>H8*D16/C6</f>
        <v>58172385.56661842</v>
      </c>
      <c r="D9" s="504"/>
      <c r="E9" s="504"/>
      <c r="F9" s="504"/>
      <c r="G9" s="506" t="s">
        <v>351</v>
      </c>
      <c r="H9" s="515">
        <f>1-H8</f>
        <v>0.5</v>
      </c>
      <c r="I9" s="504" t="s">
        <v>348</v>
      </c>
    </row>
    <row r="10" spans="2:9" ht="13.2" customHeight="1" outlineLevel="1">
      <c r="B10" s="504"/>
      <c r="C10" s="504"/>
      <c r="D10" s="504"/>
      <c r="E10" s="504"/>
      <c r="F10" s="504"/>
      <c r="G10" s="506"/>
      <c r="H10" s="515"/>
      <c r="I10" s="504"/>
    </row>
    <row r="11" spans="2:9" ht="13.2" customHeight="1" outlineLevel="1">
      <c r="B11" s="508" t="s">
        <v>340</v>
      </c>
      <c r="C11" s="516"/>
      <c r="D11" s="504"/>
      <c r="E11" s="504"/>
      <c r="F11" s="504"/>
      <c r="G11" s="509" t="s">
        <v>352</v>
      </c>
      <c r="H11" s="517">
        <v>0.27</v>
      </c>
      <c r="I11" s="502" t="s">
        <v>388</v>
      </c>
    </row>
    <row r="12" spans="2:9" ht="13.2" customHeight="1" outlineLevel="1">
      <c r="B12" s="511" t="s">
        <v>353</v>
      </c>
      <c r="C12" s="504"/>
      <c r="D12" s="512">
        <f>Share_Price</f>
        <v>369.91</v>
      </c>
      <c r="E12" s="504"/>
      <c r="F12" s="504"/>
      <c r="G12" s="506"/>
      <c r="H12" s="517"/>
      <c r="I12" s="504"/>
    </row>
    <row r="13" spans="2:9" ht="13.2" customHeight="1" outlineLevel="1">
      <c r="B13" s="511" t="s">
        <v>354</v>
      </c>
      <c r="C13" s="504"/>
      <c r="D13" s="512">
        <f>'AVAV-DCF'!N116</f>
        <v>224.83591937416227</v>
      </c>
      <c r="E13" s="504"/>
      <c r="F13" s="504"/>
      <c r="G13" s="509" t="s">
        <v>355</v>
      </c>
      <c r="H13" s="507"/>
      <c r="I13" s="504"/>
    </row>
    <row r="14" spans="2:9" ht="13.2" customHeight="1" outlineLevel="1">
      <c r="B14" s="518" t="s">
        <v>356</v>
      </c>
      <c r="C14" s="502"/>
      <c r="D14" s="527">
        <f>D13/D12-1</f>
        <v>-0.39218750676066538</v>
      </c>
      <c r="E14" s="504"/>
      <c r="F14" s="504"/>
      <c r="G14" s="506" t="s">
        <v>357</v>
      </c>
      <c r="H14" s="519">
        <f>D16*H9</f>
        <v>5270418132.3356285</v>
      </c>
      <c r="I14" s="504"/>
    </row>
    <row r="15" spans="2:9" ht="13.2" customHeight="1" outlineLevel="1">
      <c r="B15" s="511" t="s">
        <v>358</v>
      </c>
      <c r="C15" s="504"/>
      <c r="D15" s="513">
        <v>46882350</v>
      </c>
      <c r="E15" s="504"/>
      <c r="F15" s="504"/>
      <c r="G15" s="506" t="s">
        <v>359</v>
      </c>
      <c r="H15" s="520">
        <v>5</v>
      </c>
      <c r="I15" s="504"/>
    </row>
    <row r="16" spans="2:9" ht="13.2" customHeight="1" outlineLevel="1">
      <c r="B16" s="511" t="s">
        <v>360</v>
      </c>
      <c r="C16" s="504"/>
      <c r="D16" s="528">
        <f>D13*D15</f>
        <v>10540836264.671257</v>
      </c>
      <c r="E16" s="504"/>
      <c r="F16" s="504"/>
      <c r="G16" s="506" t="s">
        <v>361</v>
      </c>
      <c r="H16" s="514">
        <v>0.05</v>
      </c>
      <c r="I16" s="504"/>
    </row>
    <row r="17" spans="2:9" ht="13.2" customHeight="1" outlineLevel="1">
      <c r="B17" s="511" t="s">
        <v>387</v>
      </c>
      <c r="C17" s="504"/>
      <c r="D17" s="512">
        <f>'AVAV-DCF'!J192*Units/A_D!D15</f>
        <v>6.5606330740673195</v>
      </c>
      <c r="E17" s="504"/>
      <c r="F17" s="504"/>
      <c r="G17" s="506" t="s">
        <v>362</v>
      </c>
      <c r="H17" s="521">
        <f>0.03%*H14</f>
        <v>1581125.4397006885</v>
      </c>
      <c r="I17" s="502" t="s">
        <v>389</v>
      </c>
    </row>
    <row r="18" spans="2:9" ht="13.2" customHeight="1" outlineLevel="1">
      <c r="B18" s="504"/>
      <c r="C18" s="504"/>
      <c r="D18" s="504"/>
      <c r="E18" s="504"/>
      <c r="F18" s="504"/>
      <c r="G18" s="506" t="s">
        <v>363</v>
      </c>
      <c r="H18" s="519">
        <f>H17/H15</f>
        <v>316225.08794013772</v>
      </c>
      <c r="I18" s="504"/>
    </row>
    <row r="19" spans="2:9" ht="13.2" customHeight="1" outlineLevel="1">
      <c r="B19" s="508" t="s">
        <v>364</v>
      </c>
      <c r="C19" s="504"/>
      <c r="D19" s="504"/>
      <c r="E19" s="504"/>
      <c r="F19" s="504"/>
      <c r="G19" s="506"/>
      <c r="H19" s="517"/>
      <c r="I19" s="504"/>
    </row>
    <row r="20" spans="2:9" ht="13.2" customHeight="1" outlineLevel="1">
      <c r="B20" s="518" t="s">
        <v>365</v>
      </c>
      <c r="C20" s="529">
        <f>C8*C7</f>
        <v>22477000</v>
      </c>
      <c r="D20" s="529">
        <f>D17*D15</f>
        <v>307577896</v>
      </c>
      <c r="E20" s="522"/>
      <c r="F20" s="504"/>
      <c r="G20" s="509" t="s">
        <v>366</v>
      </c>
      <c r="H20" s="521">
        <f>'Synergy Calc'!E75*Units*Units</f>
        <v>160185961.38529044</v>
      </c>
      <c r="I20" s="504"/>
    </row>
    <row r="21" spans="2:9" ht="13.2" customHeight="1" outlineLevel="1">
      <c r="B21" s="518" t="s">
        <v>367</v>
      </c>
      <c r="C21" s="529">
        <f>C20/(1-$H$11)</f>
        <v>30790410.95890411</v>
      </c>
      <c r="D21" s="529">
        <f>D20/(1-$H$11)</f>
        <v>421339583.56164384</v>
      </c>
      <c r="E21" s="522"/>
      <c r="F21" s="504"/>
      <c r="G21" s="506"/>
      <c r="H21" s="517"/>
      <c r="I21" s="504"/>
    </row>
    <row r="22" spans="2:9" ht="13.2" customHeight="1" outlineLevel="1">
      <c r="B22" s="518"/>
      <c r="C22" s="523"/>
      <c r="D22" s="523"/>
      <c r="E22" s="522"/>
      <c r="F22" s="504"/>
      <c r="G22" s="565" t="s">
        <v>374</v>
      </c>
      <c r="H22" s="566">
        <f>0.5%*D16</f>
        <v>52704181.323356286</v>
      </c>
      <c r="I22" s="502" t="s">
        <v>390</v>
      </c>
    </row>
    <row r="23" spans="2:9" ht="13.2" customHeight="1" outlineLevel="1">
      <c r="B23" s="511" t="s">
        <v>368</v>
      </c>
      <c r="C23" s="523"/>
      <c r="D23" s="523"/>
      <c r="E23" s="528">
        <f>C21+D21</f>
        <v>452129994.52054793</v>
      </c>
      <c r="F23" s="504"/>
      <c r="G23" s="504"/>
      <c r="H23" s="562"/>
      <c r="I23" s="504"/>
    </row>
    <row r="24" spans="2:9" ht="13.2" customHeight="1" outlineLevel="1">
      <c r="B24" s="511" t="s">
        <v>369</v>
      </c>
      <c r="C24" s="504"/>
      <c r="D24" s="504"/>
      <c r="E24" s="528">
        <f>-H16*H14</f>
        <v>-263520906.61678144</v>
      </c>
      <c r="F24" s="504"/>
      <c r="G24" s="504"/>
      <c r="H24" s="562"/>
      <c r="I24" s="504"/>
    </row>
    <row r="25" spans="2:9" ht="13.2" customHeight="1" outlineLevel="1">
      <c r="B25" s="511" t="s">
        <v>370</v>
      </c>
      <c r="C25" s="504"/>
      <c r="D25" s="504"/>
      <c r="E25" s="528">
        <f>-H22</f>
        <v>-52704181.323356286</v>
      </c>
      <c r="F25" s="504"/>
      <c r="G25" s="504"/>
      <c r="H25" s="563"/>
      <c r="I25" s="504"/>
    </row>
    <row r="26" spans="2:9" ht="13.2" customHeight="1" outlineLevel="1">
      <c r="B26" s="511" t="s">
        <v>371</v>
      </c>
      <c r="C26" s="504"/>
      <c r="D26" s="504"/>
      <c r="E26" s="528">
        <f>-H18</f>
        <v>-316225.08794013772</v>
      </c>
      <c r="F26" s="504"/>
      <c r="G26" s="504"/>
      <c r="H26" s="528"/>
      <c r="I26" s="504"/>
    </row>
    <row r="27" spans="2:9" ht="13.2" customHeight="1" outlineLevel="1">
      <c r="B27" s="511" t="s">
        <v>372</v>
      </c>
      <c r="C27" s="504"/>
      <c r="D27" s="504"/>
      <c r="E27" s="530">
        <f>H20</f>
        <v>160185961.38529044</v>
      </c>
      <c r="F27" s="504"/>
      <c r="G27" s="504"/>
      <c r="H27" s="564"/>
      <c r="I27" s="504"/>
    </row>
    <row r="28" spans="2:9" ht="13.2" customHeight="1" outlineLevel="1">
      <c r="B28" s="511" t="s">
        <v>373</v>
      </c>
      <c r="C28" s="504"/>
      <c r="D28" s="504"/>
      <c r="E28" s="528">
        <f>SUM(E23:E27)</f>
        <v>295774642.87776053</v>
      </c>
      <c r="F28" s="504"/>
    </row>
    <row r="29" spans="2:9" ht="13.2" customHeight="1" outlineLevel="1">
      <c r="B29" s="511"/>
      <c r="C29" s="504"/>
      <c r="D29" s="504"/>
      <c r="E29" s="522"/>
      <c r="F29" s="504"/>
      <c r="G29" s="504"/>
      <c r="H29" s="567"/>
      <c r="I29" s="504"/>
    </row>
    <row r="30" spans="2:9" ht="13.2" customHeight="1" outlineLevel="1">
      <c r="B30" s="524" t="s">
        <v>375</v>
      </c>
      <c r="C30" s="504"/>
      <c r="D30" s="504"/>
      <c r="E30" s="531">
        <f>E28*(1-H11)</f>
        <v>215915489.30076519</v>
      </c>
      <c r="F30" s="504"/>
      <c r="G30" s="504"/>
      <c r="H30" s="504"/>
      <c r="I30" s="504"/>
    </row>
    <row r="31" spans="2:9" ht="13.2" customHeight="1" outlineLevel="1">
      <c r="B31" s="511" t="s">
        <v>376</v>
      </c>
      <c r="C31" s="504"/>
      <c r="D31" s="504"/>
      <c r="E31" s="526">
        <f>C7+C9</f>
        <v>231072385.56661841</v>
      </c>
      <c r="F31" s="504"/>
      <c r="G31" s="504"/>
      <c r="H31" s="504"/>
      <c r="I31" s="504"/>
    </row>
    <row r="32" spans="2:9" ht="13.2" customHeight="1" outlineLevel="1">
      <c r="B32" s="511"/>
      <c r="C32" s="504"/>
      <c r="D32" s="504"/>
      <c r="E32" s="522"/>
      <c r="F32" s="504"/>
      <c r="G32" s="504"/>
      <c r="H32" s="504"/>
      <c r="I32" s="504"/>
    </row>
    <row r="33" spans="2:9" ht="13.2" customHeight="1" outlineLevel="1">
      <c r="B33" s="538" t="s">
        <v>377</v>
      </c>
      <c r="C33" s="539"/>
      <c r="D33" s="539"/>
      <c r="E33" s="540">
        <f>E30/E31</f>
        <v>0.93440628472897524</v>
      </c>
      <c r="F33" s="504"/>
      <c r="G33" s="504"/>
      <c r="H33" s="504"/>
      <c r="I33" s="504"/>
    </row>
    <row r="34" spans="2:9" ht="13.2" customHeight="1" outlineLevel="1">
      <c r="B34" s="541" t="s">
        <v>378</v>
      </c>
      <c r="C34" s="542"/>
      <c r="D34" s="542"/>
      <c r="E34" s="543">
        <f>C8</f>
        <v>0.13</v>
      </c>
      <c r="F34" s="504"/>
      <c r="G34" s="504"/>
      <c r="H34" s="504"/>
      <c r="I34" s="504"/>
    </row>
    <row r="35" spans="2:9" ht="13.2" customHeight="1" outlineLevel="1">
      <c r="B35" s="544" t="s">
        <v>379</v>
      </c>
      <c r="C35" s="545"/>
      <c r="D35" s="545"/>
      <c r="E35" s="546">
        <f>E33-E34</f>
        <v>0.80440628472897524</v>
      </c>
      <c r="F35" s="504"/>
      <c r="G35" s="504"/>
      <c r="H35" s="504"/>
      <c r="I35" s="504"/>
    </row>
    <row r="36" spans="2:9" ht="13.2" customHeight="1" outlineLevel="1">
      <c r="B36" s="544" t="s">
        <v>380</v>
      </c>
      <c r="C36" s="536"/>
      <c r="D36" s="536"/>
      <c r="E36" s="547">
        <f>E33/E34-1</f>
        <v>6.1877406517613478</v>
      </c>
      <c r="F36" s="504"/>
      <c r="G36" s="504"/>
      <c r="H36" s="504"/>
      <c r="I36" s="504"/>
    </row>
    <row r="37" spans="2:9" ht="13.2" customHeight="1" outlineLevel="1">
      <c r="B37" s="504"/>
      <c r="C37" s="504"/>
      <c r="D37" s="504"/>
      <c r="E37" s="504"/>
      <c r="F37" s="504"/>
      <c r="G37" s="504"/>
      <c r="H37" s="504"/>
      <c r="I37" s="504"/>
    </row>
    <row r="38" spans="2:9" ht="13.2" customHeight="1" outlineLevel="1">
      <c r="B38" s="504"/>
      <c r="C38" s="504"/>
      <c r="D38" s="504"/>
      <c r="E38" s="504"/>
      <c r="F38" s="504"/>
      <c r="G38" s="504"/>
      <c r="H38" s="504"/>
      <c r="I38" s="504"/>
    </row>
    <row r="39" spans="2:9" ht="13.2" customHeight="1" outlineLevel="1">
      <c r="B39" s="525" t="s">
        <v>381</v>
      </c>
      <c r="C39" s="504"/>
      <c r="D39" s="504"/>
      <c r="E39" s="504"/>
      <c r="F39" s="504"/>
      <c r="G39" s="504"/>
      <c r="H39" s="504"/>
      <c r="I39" s="504"/>
    </row>
    <row r="40" spans="2:9" ht="13.2" customHeight="1" outlineLevel="1">
      <c r="B40" s="536" t="s">
        <v>382</v>
      </c>
      <c r="C40" s="539"/>
      <c r="D40" s="539"/>
      <c r="E40" s="539"/>
      <c r="F40" s="539"/>
      <c r="G40" s="504"/>
      <c r="H40" s="504"/>
      <c r="I40" s="504"/>
    </row>
    <row r="41" spans="2:9" ht="13.2" customHeight="1" outlineLevel="1">
      <c r="B41" s="536"/>
      <c r="C41" s="556"/>
      <c r="D41" s="556" t="s">
        <v>383</v>
      </c>
      <c r="E41" s="556"/>
      <c r="F41" s="557"/>
      <c r="G41" s="504"/>
      <c r="H41" s="504"/>
      <c r="I41" s="504"/>
    </row>
    <row r="42" spans="2:9" ht="13.2" customHeight="1" outlineLevel="1">
      <c r="B42" s="558"/>
      <c r="C42" s="561">
        <f>E35</f>
        <v>0.80440628472897524</v>
      </c>
      <c r="D42" s="548">
        <v>0</v>
      </c>
      <c r="E42" s="548">
        <v>0.5</v>
      </c>
      <c r="F42" s="549">
        <v>1</v>
      </c>
      <c r="G42" s="504"/>
      <c r="H42" s="504"/>
      <c r="I42" s="504"/>
    </row>
    <row r="43" spans="2:9" ht="13.2" customHeight="1" outlineLevel="1">
      <c r="B43" s="559" t="s">
        <v>384</v>
      </c>
      <c r="C43" s="550">
        <v>30</v>
      </c>
      <c r="D43" s="551">
        <v>1.2998709677419349</v>
      </c>
      <c r="E43" s="551">
        <v>1.2241858994625368</v>
      </c>
      <c r="F43" s="552">
        <v>1.1514569125852461</v>
      </c>
      <c r="G43" s="504"/>
      <c r="H43" s="504"/>
      <c r="I43" s="504"/>
    </row>
    <row r="44" spans="2:9" ht="13.2" customHeight="1" outlineLevel="1">
      <c r="B44" s="558"/>
      <c r="C44" s="550">
        <v>40</v>
      </c>
      <c r="D44" s="551">
        <v>0.99503225806451567</v>
      </c>
      <c r="E44" s="551">
        <v>0.90282663316583012</v>
      </c>
      <c r="F44" s="552">
        <v>0.81536107711138328</v>
      </c>
      <c r="G44" s="504"/>
      <c r="H44" s="504"/>
      <c r="I44" s="504"/>
    </row>
    <row r="45" spans="2:9" ht="13.2" customHeight="1" outlineLevel="1">
      <c r="B45" s="560"/>
      <c r="C45" s="553">
        <v>70</v>
      </c>
      <c r="D45" s="554">
        <v>8.0516129032258021E-2</v>
      </c>
      <c r="E45" s="554">
        <v>-3.6310440406527533E-2</v>
      </c>
      <c r="F45" s="555">
        <v>-0.1430170889805531</v>
      </c>
      <c r="G45" s="504"/>
      <c r="H45" s="504"/>
      <c r="I45" s="504"/>
    </row>
    <row r="46" spans="2:9" ht="13.2" customHeight="1" outlineLevel="1"/>
    <row r="47" spans="2:9" ht="13.2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BA30-57D4-4B51-BCEF-1B50973F371B}">
  <dimension ref="B2:G35"/>
  <sheetViews>
    <sheetView topLeftCell="A3" workbookViewId="0">
      <selection activeCell="C6" sqref="C6"/>
    </sheetView>
  </sheetViews>
  <sheetFormatPr defaultColWidth="8.88671875" defaultRowHeight="14.4"/>
  <cols>
    <col min="1" max="1" width="8.88671875" style="303"/>
    <col min="2" max="2" width="1.44140625" style="303" customWidth="1"/>
    <col min="3" max="3" width="66.33203125" style="303" customWidth="1"/>
    <col min="4" max="4" width="12.88671875" style="303" bestFit="1" customWidth="1"/>
    <col min="5" max="16384" width="8.88671875" style="303"/>
  </cols>
  <sheetData>
    <row r="2" spans="2:7" ht="18">
      <c r="B2" s="415" t="str">
        <f>Company_Name&amp;" - H1 Financial Results"</f>
        <v>AeroVironment, Inc.  - H1 Financial Results</v>
      </c>
      <c r="C2" s="416"/>
      <c r="D2" s="416"/>
    </row>
    <row r="3" spans="2:7" ht="15.6">
      <c r="B3" s="417" t="str">
        <f>'AVAV-DCF'!$B$3</f>
        <v>($ in Thousands Except Per Share and Per Unit Data)</v>
      </c>
      <c r="C3" s="416"/>
      <c r="D3" s="416"/>
    </row>
    <row r="4" spans="2:7" ht="15.6">
      <c r="B4" s="416"/>
      <c r="C4" s="416"/>
      <c r="D4" s="416"/>
    </row>
    <row r="5" spans="2:7" ht="15.6">
      <c r="B5" s="20"/>
      <c r="C5" s="20"/>
      <c r="D5" s="20"/>
    </row>
    <row r="6" spans="2:7" ht="15.6">
      <c r="B6" s="25" t="s">
        <v>128</v>
      </c>
      <c r="C6" s="59"/>
      <c r="D6" s="26" t="s">
        <v>129</v>
      </c>
    </row>
    <row r="7" spans="2:7" ht="15.6">
      <c r="B7" s="416"/>
      <c r="C7" s="418" t="s">
        <v>74</v>
      </c>
      <c r="D7" s="419">
        <v>927184</v>
      </c>
    </row>
    <row r="8" spans="2:7" ht="15.6">
      <c r="B8" s="416"/>
      <c r="C8" s="420" t="s">
        <v>130</v>
      </c>
      <c r="D8" s="421">
        <f>D7/377941 - 1</f>
        <v>1.4532506396501041</v>
      </c>
    </row>
    <row r="9" spans="2:7" ht="15.6">
      <c r="B9" s="416"/>
      <c r="C9" s="422" t="s">
        <v>91</v>
      </c>
      <c r="D9" s="423">
        <f>D7-727961-229612-69107</f>
        <v>-99496</v>
      </c>
    </row>
    <row r="10" spans="2:7" ht="15.6">
      <c r="B10" s="416"/>
      <c r="C10" s="420" t="s">
        <v>131</v>
      </c>
      <c r="D10" s="421">
        <f>+D9/D7</f>
        <v>-0.10730987592538266</v>
      </c>
    </row>
    <row r="11" spans="2:7" ht="15.6">
      <c r="B11" s="416"/>
      <c r="C11" s="422"/>
      <c r="D11" s="416"/>
    </row>
    <row r="12" spans="2:7" ht="15.6">
      <c r="B12" s="416"/>
      <c r="C12" s="422" t="s">
        <v>93</v>
      </c>
      <c r="D12" s="424">
        <f>-17474 + (G12*17474/104930)</f>
        <v>-16569.075612312972</v>
      </c>
      <c r="G12" s="304">
        <f>12746-7312</f>
        <v>5434</v>
      </c>
    </row>
    <row r="13" spans="2:7" ht="15.6">
      <c r="B13" s="416"/>
      <c r="C13" s="422"/>
      <c r="D13" s="416"/>
      <c r="E13" s="478"/>
    </row>
    <row r="14" spans="2:7" ht="15.6">
      <c r="B14" s="416"/>
      <c r="C14" s="418" t="s">
        <v>94</v>
      </c>
      <c r="D14" s="425">
        <f>+D9-D12</f>
        <v>-82926.924387687031</v>
      </c>
    </row>
    <row r="15" spans="2:7" ht="15.6">
      <c r="B15" s="416"/>
      <c r="C15" s="422"/>
      <c r="D15" s="416"/>
    </row>
    <row r="16" spans="2:7" ht="15.6">
      <c r="B16" s="416"/>
      <c r="C16" s="418" t="s">
        <v>95</v>
      </c>
      <c r="D16" s="416"/>
    </row>
    <row r="17" spans="2:4" ht="15.6">
      <c r="B17" s="416"/>
      <c r="C17" s="426" t="s">
        <v>89</v>
      </c>
      <c r="D17" s="427">
        <f>127881+31985+2240</f>
        <v>162106</v>
      </c>
    </row>
    <row r="18" spans="2:4" ht="15.6">
      <c r="B18" s="416"/>
      <c r="C18" s="426" t="s">
        <v>88</v>
      </c>
      <c r="D18" s="427">
        <v>20446</v>
      </c>
    </row>
    <row r="19" spans="2:4" ht="15.6">
      <c r="B19" s="416"/>
      <c r="C19" s="426" t="s">
        <v>96</v>
      </c>
      <c r="D19" s="427">
        <v>0</v>
      </c>
    </row>
    <row r="20" spans="2:4" ht="15.6">
      <c r="B20" s="416"/>
      <c r="C20" s="428" t="s">
        <v>97</v>
      </c>
      <c r="D20" s="429">
        <f>19995-1538</f>
        <v>18457</v>
      </c>
    </row>
    <row r="21" spans="2:4" ht="15.6">
      <c r="B21" s="416"/>
      <c r="C21" s="418" t="s">
        <v>98</v>
      </c>
      <c r="D21" s="430">
        <f>SUM(D17:D20)</f>
        <v>201009</v>
      </c>
    </row>
    <row r="22" spans="2:4" ht="15.6">
      <c r="B22" s="416"/>
      <c r="C22" s="422"/>
      <c r="D22" s="416"/>
    </row>
    <row r="23" spans="2:4" ht="15.6">
      <c r="B23" s="416"/>
      <c r="C23" s="418" t="s">
        <v>99</v>
      </c>
      <c r="D23" s="435"/>
    </row>
    <row r="24" spans="2:4" ht="15.6">
      <c r="B24" s="416"/>
      <c r="C24" s="426" t="s">
        <v>100</v>
      </c>
      <c r="D24" s="427">
        <v>-51519</v>
      </c>
    </row>
    <row r="25" spans="2:4" ht="15.6">
      <c r="B25" s="416"/>
      <c r="C25" s="426" t="s">
        <v>101</v>
      </c>
      <c r="D25" s="427">
        <v>-49360</v>
      </c>
    </row>
    <row r="26" spans="2:4" ht="15.6">
      <c r="B26" s="416"/>
      <c r="C26" s="426" t="s">
        <v>102</v>
      </c>
      <c r="D26" s="427">
        <v>-12747</v>
      </c>
    </row>
    <row r="27" spans="2:4" ht="15.6">
      <c r="B27" s="416"/>
      <c r="C27" s="426" t="s">
        <v>103</v>
      </c>
      <c r="D27" s="427">
        <v>-7772</v>
      </c>
    </row>
    <row r="28" spans="2:4" ht="15.6">
      <c r="B28" s="416"/>
      <c r="C28" s="426" t="s">
        <v>132</v>
      </c>
      <c r="D28" s="427">
        <v>-22230</v>
      </c>
    </row>
    <row r="29" spans="2:4" ht="15.6">
      <c r="B29" s="416"/>
      <c r="C29" s="426" t="s">
        <v>133</v>
      </c>
      <c r="D29" s="427">
        <v>-124417</v>
      </c>
    </row>
    <row r="30" spans="2:4" ht="15.6">
      <c r="B30" s="416"/>
      <c r="C30" s="428" t="s">
        <v>106</v>
      </c>
      <c r="D30" s="431">
        <v>-2106</v>
      </c>
    </row>
    <row r="31" spans="2:4" ht="15.6">
      <c r="B31" s="416"/>
      <c r="C31" s="418" t="s">
        <v>107</v>
      </c>
      <c r="D31" s="430">
        <f>SUM(D24:D30)</f>
        <v>-270151</v>
      </c>
    </row>
    <row r="32" spans="2:4" ht="15.6">
      <c r="B32" s="416"/>
      <c r="C32" s="422"/>
      <c r="D32" s="432"/>
    </row>
    <row r="33" spans="2:4" ht="15.6">
      <c r="B33" s="416"/>
      <c r="C33" s="418" t="s">
        <v>109</v>
      </c>
      <c r="D33" s="433">
        <v>-46803</v>
      </c>
    </row>
    <row r="34" spans="2:4" ht="15.6">
      <c r="B34" s="416"/>
      <c r="C34" s="416"/>
      <c r="D34" s="416"/>
    </row>
    <row r="35" spans="2:4" ht="15.6">
      <c r="B35" s="416"/>
      <c r="C35" s="434" t="s">
        <v>134</v>
      </c>
      <c r="D35" s="430">
        <f>+D14+D21+D31+D33</f>
        <v>-198871.92438768703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1E3-0169-4B35-9BFE-1D9E44920368}">
  <dimension ref="B1:L15"/>
  <sheetViews>
    <sheetView workbookViewId="0">
      <selection activeCell="K21" sqref="K21"/>
    </sheetView>
  </sheetViews>
  <sheetFormatPr defaultColWidth="8.88671875" defaultRowHeight="14.4"/>
  <cols>
    <col min="1" max="1" width="8.88671875" style="303"/>
    <col min="2" max="2" width="26.5546875" style="303" customWidth="1"/>
    <col min="3" max="3" width="17.33203125" style="303" bestFit="1" customWidth="1"/>
    <col min="4" max="4" width="14.6640625" style="303" bestFit="1" customWidth="1"/>
    <col min="5" max="5" width="18.33203125" style="303" bestFit="1" customWidth="1"/>
    <col min="6" max="6" width="14.6640625" style="303" bestFit="1" customWidth="1"/>
    <col min="7" max="7" width="17" style="303" bestFit="1" customWidth="1"/>
    <col min="8" max="12" width="14.33203125" style="303" customWidth="1"/>
    <col min="13" max="16384" width="8.88671875" style="303"/>
  </cols>
  <sheetData>
    <row r="1" spans="2:12">
      <c r="F1" s="304">
        <v>1</v>
      </c>
    </row>
    <row r="2" spans="2:12">
      <c r="B2" s="302">
        <v>2</v>
      </c>
      <c r="C2" s="301" t="str">
        <f>CHOOSE(B2, "as a % of revenue", "as a % of PPE")</f>
        <v>as a % of PPE</v>
      </c>
      <c r="F2" s="304">
        <v>2</v>
      </c>
    </row>
    <row r="4" spans="2:12">
      <c r="B4" s="305" t="s">
        <v>135</v>
      </c>
    </row>
    <row r="5" spans="2:12" ht="18" thickBot="1">
      <c r="B5" s="293" t="s">
        <v>136</v>
      </c>
      <c r="C5" s="300" t="s">
        <v>137</v>
      </c>
      <c r="D5" s="300" t="s">
        <v>138</v>
      </c>
      <c r="E5" s="300" t="s">
        <v>139</v>
      </c>
      <c r="F5" s="300" t="s">
        <v>140</v>
      </c>
      <c r="G5" s="300" t="s">
        <v>141</v>
      </c>
      <c r="H5" s="300" t="s">
        <v>142</v>
      </c>
      <c r="I5" s="300" t="s">
        <v>143</v>
      </c>
      <c r="J5" s="300" t="s">
        <v>144</v>
      </c>
      <c r="K5" s="300" t="s">
        <v>145</v>
      </c>
      <c r="L5" s="300" t="s">
        <v>146</v>
      </c>
    </row>
    <row r="6" spans="2:12" ht="17.399999999999999">
      <c r="B6" s="294" t="s">
        <v>147</v>
      </c>
      <c r="C6" s="295"/>
      <c r="D6" s="295">
        <f>C11</f>
        <v>58896</v>
      </c>
      <c r="E6" s="295">
        <f t="shared" ref="E6:L6" si="0">D11</f>
        <v>62296</v>
      </c>
      <c r="F6" s="295">
        <f t="shared" si="0"/>
        <v>39795</v>
      </c>
      <c r="G6" s="295">
        <f t="shared" si="0"/>
        <v>46602</v>
      </c>
      <c r="H6" s="296">
        <f t="shared" si="0"/>
        <v>50704</v>
      </c>
      <c r="I6" s="296">
        <f t="shared" si="0"/>
        <v>54760.319999999992</v>
      </c>
      <c r="J6" s="296">
        <f t="shared" si="0"/>
        <v>61331.558399999987</v>
      </c>
      <c r="K6" s="296">
        <f t="shared" si="0"/>
        <v>71144.607743999994</v>
      </c>
      <c r="L6" s="296">
        <f t="shared" si="0"/>
        <v>84662.083215360006</v>
      </c>
    </row>
    <row r="7" spans="2:12" ht="17.399999999999999">
      <c r="B7" s="294" t="s">
        <v>148</v>
      </c>
      <c r="C7" s="295"/>
      <c r="D7" s="295">
        <v>30493</v>
      </c>
      <c r="E7" s="295">
        <v>41803</v>
      </c>
      <c r="F7" s="295">
        <v>17098</v>
      </c>
      <c r="G7" s="295">
        <v>17063</v>
      </c>
      <c r="H7" s="296">
        <f>CHOOSE($B$2, H8*'AVAV-DCF'!J$134, H8*H$6)</f>
        <v>20281.600000000002</v>
      </c>
      <c r="I7" s="296">
        <f>CHOOSE($B$2, I8*'AVAV-DCF'!K$134, I8*I$6)</f>
        <v>20808.921599999998</v>
      </c>
      <c r="J7" s="296">
        <f>CHOOSE($B$2, J8*'AVAV-DCF'!L$134, J8*J$6)</f>
        <v>22079.361023999994</v>
      </c>
      <c r="K7" s="296">
        <f>CHOOSE($B$2, K8*'AVAV-DCF'!M$134, K8*K$6)</f>
        <v>24900.612710399997</v>
      </c>
      <c r="L7" s="296">
        <f>CHOOSE($B$2, L8*'AVAV-DCF'!N$134, L8*L$6)</f>
        <v>29631.729125376001</v>
      </c>
    </row>
    <row r="8" spans="2:12">
      <c r="B8" s="305" t="str">
        <f>$C$2</f>
        <v>as a % of PPE</v>
      </c>
      <c r="C8" s="305"/>
      <c r="D8" s="384">
        <f>CHOOSE($B$2, D7/'AVAV-DCF'!F$134, 'D&amp;A Schedule'!D7/'D&amp;A Schedule'!D$6)</f>
        <v>0.51774314045096437</v>
      </c>
      <c r="E8" s="384">
        <f>CHOOSE($B$2, E7/'AVAV-DCF'!G$134, 'D&amp;A Schedule'!E7/'D&amp;A Schedule'!E$6)</f>
        <v>0.67103826890972129</v>
      </c>
      <c r="F8" s="384">
        <f>CHOOSE($B$2, F7/'AVAV-DCF'!H$134, 'D&amp;A Schedule'!F7/'D&amp;A Schedule'!F$6)</f>
        <v>0.42965196632742808</v>
      </c>
      <c r="G8" s="384">
        <f>CHOOSE($B$2, G7/'AVAV-DCF'!I$134, 'D&amp;A Schedule'!G7/'D&amp;A Schedule'!G$6)</f>
        <v>0.3661430839878117</v>
      </c>
      <c r="H8" s="385">
        <f>CHOOSE($B$2, 1%, 40%)</f>
        <v>0.4</v>
      </c>
      <c r="I8" s="385">
        <f>CHOOSE($B$2, 1.25%, 38%)</f>
        <v>0.38</v>
      </c>
      <c r="J8" s="385">
        <f>CHOOSE($B$2, 1.5%,36%)</f>
        <v>0.36</v>
      </c>
      <c r="K8" s="385">
        <f>CHOOSE($B$2, 1.5%, 35%)</f>
        <v>0.35</v>
      </c>
      <c r="L8" s="385">
        <f>CHOOSE($B$2, 1.5%, 35%)</f>
        <v>0.35</v>
      </c>
    </row>
    <row r="9" spans="2:12" ht="17.399999999999999">
      <c r="B9" s="294" t="s">
        <v>149</v>
      </c>
      <c r="C9" s="295"/>
      <c r="D9" s="295">
        <f>D11-D6+D7</f>
        <v>33893</v>
      </c>
      <c r="E9" s="295">
        <f>E11-E6+E7</f>
        <v>19302</v>
      </c>
      <c r="F9" s="295">
        <f>F11-F6+F7</f>
        <v>23905</v>
      </c>
      <c r="G9" s="295">
        <f>G11-G6+G7</f>
        <v>21165</v>
      </c>
      <c r="H9" s="296">
        <f>CHOOSE($B$2, H10*'AVAV-DCF'!J$134, H10*H$6)</f>
        <v>24337.919999999998</v>
      </c>
      <c r="I9" s="296">
        <f>CHOOSE($B$2, I10*'AVAV-DCF'!K$134, I10*I$6)</f>
        <v>27380.159999999996</v>
      </c>
      <c r="J9" s="296">
        <f>CHOOSE($B$2, J10*'AVAV-DCF'!L$134, J10*J$6)</f>
        <v>31892.410367999993</v>
      </c>
      <c r="K9" s="296">
        <f>CHOOSE($B$2, K10*'AVAV-DCF'!M$134, K10*K$6)</f>
        <v>38418.088181760002</v>
      </c>
      <c r="L9" s="296">
        <f>CHOOSE($B$2, L10*'AVAV-DCF'!N$134, L10*L$6)</f>
        <v>46564.145768448005</v>
      </c>
    </row>
    <row r="10" spans="2:12">
      <c r="B10" s="305" t="str">
        <f>$C$2</f>
        <v>as a % of PPE</v>
      </c>
      <c r="C10" s="305"/>
      <c r="D10" s="384">
        <f>CHOOSE($B$2, D9/'AVAV-DCF'!F$134, 'D&amp;A Schedule'!D9/'D&amp;A Schedule'!D$6)</f>
        <v>0.57547201847324092</v>
      </c>
      <c r="E10" s="384">
        <f>CHOOSE($B$2, E9/'AVAV-DCF'!G$134, 'D&amp;A Schedule'!E9/'D&amp;A Schedule'!E$6)</f>
        <v>0.30984332862463082</v>
      </c>
      <c r="F10" s="384">
        <f>CHOOSE($B$2, F9/'AVAV-DCF'!H$134, 'D&amp;A Schedule'!F9/'D&amp;A Schedule'!F$6)</f>
        <v>0.60070360598065087</v>
      </c>
      <c r="G10" s="384">
        <f>CHOOSE($B$2, G9/'AVAV-DCF'!I$134, 'D&amp;A Schedule'!G9/'D&amp;A Schedule'!G$6)</f>
        <v>0.4541650572936784</v>
      </c>
      <c r="H10" s="385">
        <f>CHOOSE($B$2, 1.25%, 48%)</f>
        <v>0.48</v>
      </c>
      <c r="I10" s="385">
        <f>CHOOSE($B$2, 1.5%, 50%)</f>
        <v>0.5</v>
      </c>
      <c r="J10" s="385">
        <f>CHOOSE($B$2, 1.75%,52%)</f>
        <v>0.52</v>
      </c>
      <c r="K10" s="385">
        <f>CHOOSE($B$2,1.75%, 54%)</f>
        <v>0.54</v>
      </c>
      <c r="L10" s="385">
        <f>CHOOSE($B$2, 1.75%, 55%)</f>
        <v>0.55000000000000004</v>
      </c>
    </row>
    <row r="11" spans="2:12" ht="18" thickBot="1">
      <c r="B11" s="297" t="s">
        <v>150</v>
      </c>
      <c r="C11" s="298">
        <v>58896</v>
      </c>
      <c r="D11" s="298">
        <v>62296</v>
      </c>
      <c r="E11" s="298">
        <v>39795</v>
      </c>
      <c r="F11" s="298">
        <v>46602</v>
      </c>
      <c r="G11" s="298">
        <v>50704</v>
      </c>
      <c r="H11" s="299">
        <f t="shared" ref="H11:L11" si="1">H6-H7+H9</f>
        <v>54760.319999999992</v>
      </c>
      <c r="I11" s="299">
        <f t="shared" si="1"/>
        <v>61331.558399999987</v>
      </c>
      <c r="J11" s="299">
        <f t="shared" si="1"/>
        <v>71144.607743999994</v>
      </c>
      <c r="K11" s="299">
        <f t="shared" si="1"/>
        <v>84662.083215360006</v>
      </c>
      <c r="L11" s="299">
        <f t="shared" si="1"/>
        <v>101594.49985843201</v>
      </c>
    </row>
    <row r="13" spans="2:12">
      <c r="H13" s="386"/>
    </row>
    <row r="15" spans="2:12">
      <c r="H15" s="386"/>
    </row>
  </sheetData>
  <phoneticPr fontId="54" type="noConversion"/>
  <dataValidations count="1">
    <dataValidation type="list" allowBlank="1" showInputMessage="1" showErrorMessage="1" sqref="B2" xr:uid="{7DEF9A4B-63EE-422A-A848-AB773D0B74FD}">
      <formula1>$F$1:$F$2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J36"/>
  <sheetViews>
    <sheetView showGridLines="0" zoomScale="90" zoomScaleNormal="100" zoomScaleSheetLayoutView="5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6" sqref="H6"/>
    </sheetView>
  </sheetViews>
  <sheetFormatPr defaultColWidth="8.88671875" defaultRowHeight="15.6"/>
  <cols>
    <col min="1" max="1" width="4.6640625" style="185" customWidth="1"/>
    <col min="2" max="2" width="26.109375" style="185" bestFit="1" customWidth="1"/>
    <col min="3" max="3" width="10.6640625" style="185" customWidth="1"/>
    <col min="4" max="8" width="12.6640625" style="185" customWidth="1"/>
    <col min="9" max="16384" width="8.88671875" style="185"/>
  </cols>
  <sheetData>
    <row r="1" spans="1:10">
      <c r="A1" s="223">
        <v>1</v>
      </c>
      <c r="B1" s="346"/>
      <c r="C1" s="346"/>
      <c r="D1" s="346"/>
      <c r="E1" s="186"/>
      <c r="F1" s="187"/>
      <c r="G1" s="188"/>
      <c r="H1" s="189" t="str">
        <f>Ticker</f>
        <v>AVAV</v>
      </c>
      <c r="I1" s="346"/>
      <c r="J1" s="346"/>
    </row>
    <row r="2" spans="1:10">
      <c r="A2" s="347">
        <f t="shared" ref="A2:A33" si="0">A1+1</f>
        <v>2</v>
      </c>
      <c r="B2" s="346"/>
      <c r="C2" s="346"/>
      <c r="D2" s="346"/>
      <c r="E2" s="190"/>
      <c r="F2" s="191"/>
      <c r="G2" s="192"/>
      <c r="H2" s="193" t="str">
        <f>Company_Name</f>
        <v xml:space="preserve">AeroVironment, Inc. </v>
      </c>
      <c r="I2" s="346"/>
      <c r="J2" s="346"/>
    </row>
    <row r="3" spans="1:10">
      <c r="A3" s="347">
        <f t="shared" si="0"/>
        <v>3</v>
      </c>
      <c r="B3" s="346"/>
      <c r="C3" s="346"/>
      <c r="D3" s="346"/>
      <c r="E3" s="212" t="s">
        <v>251</v>
      </c>
      <c r="F3" s="348"/>
      <c r="G3" s="348"/>
      <c r="H3" s="349"/>
      <c r="I3" s="346"/>
      <c r="J3" s="346"/>
    </row>
    <row r="4" spans="1:10">
      <c r="A4" s="347">
        <f t="shared" si="0"/>
        <v>4</v>
      </c>
      <c r="B4" s="346"/>
      <c r="C4" s="346"/>
      <c r="D4" s="346"/>
      <c r="E4" s="213">
        <v>42551</v>
      </c>
      <c r="F4" s="214">
        <v>42916</v>
      </c>
      <c r="G4" s="215">
        <v>42735</v>
      </c>
      <c r="H4" s="216">
        <f>+F4</f>
        <v>42916</v>
      </c>
      <c r="I4" s="346"/>
      <c r="J4" s="346"/>
    </row>
    <row r="5" spans="1:10">
      <c r="A5" s="347" t="e">
        <f>#REF!+1</f>
        <v>#REF!</v>
      </c>
      <c r="B5" s="346"/>
      <c r="C5" s="346"/>
      <c r="D5" s="346"/>
      <c r="E5" s="211" t="s">
        <v>252</v>
      </c>
      <c r="F5" s="217"/>
      <c r="G5" s="217"/>
      <c r="H5" s="218"/>
      <c r="I5" s="346"/>
      <c r="J5" s="346"/>
    </row>
    <row r="6" spans="1:10">
      <c r="A6" s="347" t="e">
        <f t="shared" si="0"/>
        <v>#REF!</v>
      </c>
      <c r="B6" s="280" t="s">
        <v>253</v>
      </c>
      <c r="C6" s="280"/>
      <c r="D6" s="346"/>
      <c r="E6" s="196"/>
      <c r="F6" s="351"/>
      <c r="G6" s="351"/>
      <c r="H6" s="225">
        <v>369.91</v>
      </c>
      <c r="I6" s="346"/>
      <c r="J6" s="346"/>
    </row>
    <row r="7" spans="1:10">
      <c r="A7" s="347" t="e">
        <f t="shared" si="0"/>
        <v>#REF!</v>
      </c>
      <c r="B7" s="280" t="s">
        <v>254</v>
      </c>
      <c r="C7" s="280"/>
      <c r="D7" s="346"/>
      <c r="E7" s="194"/>
      <c r="F7" s="350"/>
      <c r="G7" s="350"/>
      <c r="H7" s="197">
        <v>49.927306000000002</v>
      </c>
      <c r="I7" s="346"/>
      <c r="J7" s="346"/>
    </row>
    <row r="8" spans="1:10">
      <c r="A8" s="347" t="e">
        <f t="shared" si="0"/>
        <v>#REF!</v>
      </c>
      <c r="B8" s="280" t="s">
        <v>255</v>
      </c>
      <c r="C8" s="280"/>
      <c r="D8" s="346"/>
      <c r="E8" s="352"/>
      <c r="F8" s="353"/>
      <c r="G8" s="353"/>
      <c r="H8" s="354"/>
      <c r="I8" s="346"/>
      <c r="J8" s="175"/>
    </row>
    <row r="9" spans="1:10">
      <c r="A9" s="347" t="e">
        <f t="shared" si="0"/>
        <v>#REF!</v>
      </c>
      <c r="B9" s="346"/>
      <c r="C9" s="346"/>
      <c r="D9" s="346"/>
      <c r="E9" s="352"/>
      <c r="F9" s="219" t="s">
        <v>256</v>
      </c>
      <c r="G9" s="220" t="s">
        <v>257</v>
      </c>
      <c r="H9" s="221" t="s">
        <v>258</v>
      </c>
      <c r="I9" s="346"/>
      <c r="J9" s="346"/>
    </row>
    <row r="10" spans="1:10">
      <c r="A10" s="347" t="e">
        <f t="shared" si="0"/>
        <v>#REF!</v>
      </c>
      <c r="B10" s="346"/>
      <c r="C10" s="346"/>
      <c r="D10" s="346"/>
      <c r="E10" s="352"/>
      <c r="F10" s="198">
        <f>2.614416+2.66141</f>
        <v>5.2758260000000003</v>
      </c>
      <c r="G10" s="199">
        <v>280</v>
      </c>
      <c r="H10" s="355">
        <f>IF(G10&lt;H$6,F10-((F10*G10)/H$6),0)</f>
        <v>1.2823376379659917</v>
      </c>
      <c r="I10" s="346"/>
      <c r="J10" s="346"/>
    </row>
    <row r="11" spans="1:10">
      <c r="A11" s="347" t="e">
        <f t="shared" si="0"/>
        <v>#REF!</v>
      </c>
      <c r="B11" s="346"/>
      <c r="C11" s="346"/>
      <c r="D11" s="346"/>
      <c r="E11" s="352"/>
      <c r="F11" s="198"/>
      <c r="G11" s="199"/>
      <c r="H11" s="355">
        <f t="shared" ref="H11:H15" si="1">IF(G11&lt;H$6,F11-((F11*G11)/H$6),0)</f>
        <v>0</v>
      </c>
      <c r="I11" s="346"/>
      <c r="J11" s="175"/>
    </row>
    <row r="12" spans="1:10">
      <c r="A12" s="347" t="e">
        <f t="shared" si="0"/>
        <v>#REF!</v>
      </c>
      <c r="B12" s="346"/>
      <c r="C12" s="346"/>
      <c r="D12" s="346"/>
      <c r="E12" s="352"/>
      <c r="F12" s="198"/>
      <c r="G12" s="199"/>
      <c r="H12" s="355">
        <f t="shared" si="1"/>
        <v>0</v>
      </c>
      <c r="I12" s="346"/>
      <c r="J12" s="346"/>
    </row>
    <row r="13" spans="1:10">
      <c r="A13" s="347" t="e">
        <f t="shared" si="0"/>
        <v>#REF!</v>
      </c>
      <c r="B13" s="346"/>
      <c r="C13" s="346"/>
      <c r="D13" s="346"/>
      <c r="E13" s="352"/>
      <c r="F13" s="198"/>
      <c r="G13" s="199"/>
      <c r="H13" s="355">
        <f t="shared" si="1"/>
        <v>0</v>
      </c>
      <c r="I13" s="346"/>
      <c r="J13" s="346"/>
    </row>
    <row r="14" spans="1:10">
      <c r="A14" s="347" t="e">
        <f t="shared" si="0"/>
        <v>#REF!</v>
      </c>
      <c r="B14" s="346"/>
      <c r="C14" s="346"/>
      <c r="D14" s="346"/>
      <c r="E14" s="352"/>
      <c r="F14" s="198"/>
      <c r="G14" s="199"/>
      <c r="H14" s="355">
        <f t="shared" si="1"/>
        <v>0</v>
      </c>
      <c r="I14" s="346"/>
      <c r="J14" s="346"/>
    </row>
    <row r="15" spans="1:10">
      <c r="A15" s="347" t="e">
        <f t="shared" si="0"/>
        <v>#REF!</v>
      </c>
      <c r="B15" s="346"/>
      <c r="C15" s="346"/>
      <c r="D15" s="346"/>
      <c r="E15" s="352"/>
      <c r="F15" s="198"/>
      <c r="G15" s="199"/>
      <c r="H15" s="355">
        <f t="shared" si="1"/>
        <v>0</v>
      </c>
      <c r="I15" s="346"/>
      <c r="J15" s="346"/>
    </row>
    <row r="16" spans="1:10">
      <c r="A16" s="347" t="e">
        <f t="shared" si="0"/>
        <v>#REF!</v>
      </c>
      <c r="B16" s="346"/>
      <c r="C16" s="346"/>
      <c r="D16" s="346"/>
      <c r="E16" s="352"/>
      <c r="F16" s="198"/>
      <c r="G16" s="199"/>
      <c r="H16" s="355">
        <f>IF(G16&lt;H$6,F16-((F16*G16)/H$6),0)</f>
        <v>0</v>
      </c>
      <c r="I16" s="346"/>
      <c r="J16" s="346"/>
    </row>
    <row r="17" spans="1:10">
      <c r="A17" s="347" t="e">
        <f t="shared" si="0"/>
        <v>#REF!</v>
      </c>
      <c r="B17" s="346"/>
      <c r="C17" s="346"/>
      <c r="D17" s="346"/>
      <c r="E17" s="352"/>
      <c r="F17" s="198"/>
      <c r="G17" s="199"/>
      <c r="H17" s="355">
        <f t="shared" ref="H17:H18" si="2">IF(G17&lt;H$6,F17-((F17*G17)/H$6),0)</f>
        <v>0</v>
      </c>
      <c r="I17" s="346"/>
      <c r="J17" s="346"/>
    </row>
    <row r="18" spans="1:10">
      <c r="A18" s="347" t="e">
        <f t="shared" si="0"/>
        <v>#REF!</v>
      </c>
      <c r="B18" s="346"/>
      <c r="C18" s="346"/>
      <c r="D18" s="346"/>
      <c r="E18" s="352"/>
      <c r="F18" s="198"/>
      <c r="G18" s="199"/>
      <c r="H18" s="355">
        <f t="shared" si="2"/>
        <v>0</v>
      </c>
      <c r="I18" s="346"/>
      <c r="J18" s="175"/>
    </row>
    <row r="19" spans="1:10">
      <c r="A19" s="347" t="e">
        <f t="shared" si="0"/>
        <v>#REF!</v>
      </c>
      <c r="B19" s="346"/>
      <c r="C19" s="346"/>
      <c r="D19" s="346"/>
      <c r="E19" s="356"/>
      <c r="F19" s="200"/>
      <c r="G19" s="201"/>
      <c r="H19" s="357"/>
      <c r="I19" s="346"/>
      <c r="J19" s="346"/>
    </row>
    <row r="20" spans="1:10">
      <c r="A20" s="347" t="e">
        <f t="shared" si="0"/>
        <v>#REF!</v>
      </c>
      <c r="B20" s="280" t="s">
        <v>214</v>
      </c>
      <c r="C20" s="346"/>
      <c r="D20" s="346"/>
      <c r="E20" s="219" t="s">
        <v>259</v>
      </c>
      <c r="F20" s="220" t="s">
        <v>260</v>
      </c>
      <c r="G20" s="220" t="s">
        <v>261</v>
      </c>
      <c r="H20" s="221" t="s">
        <v>258</v>
      </c>
      <c r="I20" s="346"/>
      <c r="J20" s="346"/>
    </row>
    <row r="21" spans="1:10">
      <c r="A21" s="347" t="e">
        <f t="shared" si="0"/>
        <v>#REF!</v>
      </c>
      <c r="B21" s="346"/>
      <c r="C21" s="346"/>
      <c r="D21" s="358"/>
      <c r="E21" s="195">
        <v>747.5</v>
      </c>
      <c r="F21" s="202">
        <v>1000</v>
      </c>
      <c r="G21" s="203">
        <v>322.39999999999998</v>
      </c>
      <c r="H21" s="355">
        <f>IFERROR(IF(G21&gt;H$6,0,(+F21/G21)*E21/F21),0)</f>
        <v>2.318548387096774</v>
      </c>
      <c r="I21" s="346"/>
      <c r="J21" s="175"/>
    </row>
    <row r="22" spans="1:10">
      <c r="A22" s="347" t="e">
        <f t="shared" si="0"/>
        <v>#REF!</v>
      </c>
      <c r="B22" s="346"/>
      <c r="C22" s="346"/>
      <c r="D22" s="346"/>
      <c r="E22" s="195"/>
      <c r="F22" s="202"/>
      <c r="G22" s="203"/>
      <c r="H22" s="355">
        <f>IFERROR(IF(G22&gt;H$6,0,(+F22/G22)*E22/F22),0)</f>
        <v>0</v>
      </c>
      <c r="I22" s="346"/>
      <c r="J22" s="346"/>
    </row>
    <row r="23" spans="1:10">
      <c r="A23" s="347" t="e">
        <f t="shared" si="0"/>
        <v>#REF!</v>
      </c>
      <c r="B23" s="346"/>
      <c r="C23" s="346"/>
      <c r="D23" s="346"/>
      <c r="E23" s="356"/>
      <c r="F23" s="204"/>
      <c r="G23" s="205"/>
      <c r="H23" s="359"/>
      <c r="I23" s="346"/>
      <c r="J23" s="346"/>
    </row>
    <row r="24" spans="1:10">
      <c r="A24" s="347" t="e">
        <f t="shared" si="0"/>
        <v>#REF!</v>
      </c>
      <c r="B24" s="346"/>
      <c r="C24" s="346"/>
      <c r="D24" s="346"/>
      <c r="E24" s="356"/>
      <c r="F24" s="206"/>
      <c r="G24" s="222" t="s">
        <v>262</v>
      </c>
      <c r="H24" s="221" t="s">
        <v>258</v>
      </c>
      <c r="I24" s="346"/>
      <c r="J24" s="175"/>
    </row>
    <row r="25" spans="1:10">
      <c r="A25" s="347" t="e">
        <f t="shared" si="0"/>
        <v>#REF!</v>
      </c>
      <c r="B25" s="280" t="s">
        <v>263</v>
      </c>
      <c r="C25" s="346"/>
      <c r="D25" s="346"/>
      <c r="E25" s="352"/>
      <c r="F25" s="206"/>
      <c r="G25" s="198">
        <v>0.37415999999999999</v>
      </c>
      <c r="H25" s="355">
        <f>+G25</f>
        <v>0.37415999999999999</v>
      </c>
      <c r="I25" s="346"/>
      <c r="J25" s="346"/>
    </row>
    <row r="26" spans="1:10">
      <c r="A26" s="347" t="e">
        <f t="shared" si="0"/>
        <v>#REF!</v>
      </c>
      <c r="B26" s="280"/>
      <c r="C26" s="346"/>
      <c r="D26" s="346"/>
      <c r="E26" s="352"/>
      <c r="F26" s="207"/>
      <c r="G26" s="204"/>
      <c r="H26" s="208"/>
      <c r="I26" s="346"/>
      <c r="J26" s="346"/>
    </row>
    <row r="27" spans="1:10">
      <c r="A27" s="347" t="e">
        <f t="shared" si="0"/>
        <v>#REF!</v>
      </c>
      <c r="B27" s="280" t="s">
        <v>264</v>
      </c>
      <c r="C27" s="280"/>
      <c r="D27" s="346"/>
      <c r="E27" s="360"/>
      <c r="F27" s="361"/>
      <c r="G27" s="361"/>
      <c r="H27" s="209">
        <f>+H25+SUM(H10:H18)+SUM(H21:H22)+H7</f>
        <v>53.902352025062768</v>
      </c>
      <c r="I27" s="346"/>
      <c r="J27" s="175"/>
    </row>
    <row r="28" spans="1:10">
      <c r="A28" s="347" t="e">
        <f t="shared" si="0"/>
        <v>#REF!</v>
      </c>
      <c r="B28" s="346"/>
      <c r="C28" s="346"/>
      <c r="D28" s="346"/>
      <c r="E28" s="362"/>
      <c r="F28" s="346"/>
      <c r="G28" s="346"/>
      <c r="H28" s="363"/>
      <c r="I28" s="346"/>
      <c r="J28" s="346"/>
    </row>
    <row r="29" spans="1:10">
      <c r="A29" s="347" t="e">
        <f t="shared" si="0"/>
        <v>#REF!</v>
      </c>
      <c r="B29" s="346"/>
      <c r="C29" s="346"/>
      <c r="D29" s="346"/>
      <c r="E29" s="211" t="s">
        <v>265</v>
      </c>
      <c r="F29" s="217"/>
      <c r="G29" s="217"/>
      <c r="H29" s="218"/>
      <c r="I29" s="346"/>
      <c r="J29" s="346"/>
    </row>
    <row r="30" spans="1:10">
      <c r="A30" s="347" t="e">
        <f t="shared" si="0"/>
        <v>#REF!</v>
      </c>
      <c r="B30" s="346"/>
      <c r="C30" s="346"/>
      <c r="D30" s="346"/>
      <c r="E30" s="196"/>
      <c r="F30" s="351"/>
      <c r="G30" s="351"/>
      <c r="H30" s="364"/>
      <c r="I30" s="346"/>
      <c r="J30" s="175"/>
    </row>
    <row r="31" spans="1:10">
      <c r="A31" s="347" t="e">
        <f t="shared" si="0"/>
        <v>#REF!</v>
      </c>
      <c r="B31" s="346" t="s">
        <v>266</v>
      </c>
      <c r="C31" s="346"/>
      <c r="D31" s="346"/>
      <c r="E31" s="194"/>
      <c r="F31" s="350"/>
      <c r="G31" s="350"/>
      <c r="H31" s="365">
        <f>+H27*H6</f>
        <v>19939.01903759097</v>
      </c>
      <c r="I31" s="346"/>
      <c r="J31" s="346"/>
    </row>
    <row r="32" spans="1:10">
      <c r="A32" s="347" t="e">
        <f t="shared" si="0"/>
        <v>#REF!</v>
      </c>
      <c r="B32" s="346" t="s">
        <v>267</v>
      </c>
      <c r="C32" s="346"/>
      <c r="D32" s="346"/>
      <c r="E32" s="352"/>
      <c r="F32" s="353"/>
      <c r="G32" s="353"/>
      <c r="H32" s="365" t="e">
        <f>+H31+SUM(#REF!)</f>
        <v>#REF!</v>
      </c>
      <c r="I32" s="346"/>
      <c r="J32" s="346"/>
    </row>
    <row r="33" spans="1:10">
      <c r="A33" s="347" t="e">
        <f t="shared" si="0"/>
        <v>#REF!</v>
      </c>
      <c r="B33" s="346" t="s">
        <v>268</v>
      </c>
      <c r="C33" s="346"/>
      <c r="D33" s="346"/>
      <c r="E33" s="360"/>
      <c r="F33" s="361"/>
      <c r="G33" s="361"/>
      <c r="H33" s="210"/>
      <c r="I33" s="346"/>
      <c r="J33" s="175"/>
    </row>
    <row r="34" spans="1:10" s="224" customFormat="1">
      <c r="A34" s="346"/>
      <c r="B34" s="346"/>
      <c r="C34" s="346"/>
      <c r="D34" s="346"/>
      <c r="E34" s="346"/>
      <c r="F34" s="346"/>
      <c r="G34" s="346"/>
      <c r="H34" s="346"/>
    </row>
    <row r="35" spans="1:10" s="224" customFormat="1"/>
    <row r="36" spans="1:10" s="224" customFormat="1"/>
  </sheetData>
  <pageMargins left="0.7" right="0.7" top="0.75" bottom="0.75" header="0.3" footer="0.3"/>
  <pageSetup scale="56" orientation="landscape" r:id="rId1"/>
  <rowBreaks count="1" manualBreakCount="1">
    <brk id="28" max="5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U45"/>
  <sheetViews>
    <sheetView showGridLines="0" zoomScale="68" zoomScaleNormal="100" workbookViewId="0">
      <selection activeCell="W25" sqref="W25"/>
    </sheetView>
  </sheetViews>
  <sheetFormatPr defaultColWidth="9.109375" defaultRowHeight="15.6" outlineLevelRow="1" outlineLevelCol="1"/>
  <cols>
    <col min="1" max="1" width="2.6640625" style="88" customWidth="1"/>
    <col min="2" max="2" width="39.33203125" style="88" bestFit="1" customWidth="1"/>
    <col min="3" max="3" width="6.33203125" style="88" customWidth="1" outlineLevel="1"/>
    <col min="4" max="12" width="12.6640625" style="88" customWidth="1"/>
    <col min="13" max="13" width="2.6640625" style="88" customWidth="1"/>
    <col min="14" max="16384" width="9.109375" style="88"/>
  </cols>
  <sheetData>
    <row r="1" spans="2:21" ht="15.75" customHeight="1"/>
    <row r="2" spans="2:21" ht="15.75" customHeight="1">
      <c r="B2" s="2" t="str">
        <f>"WACC Analysis - "&amp;TEXT(Company_Name,"")</f>
        <v xml:space="preserve">WACC Analysis - AeroVironment, Inc. </v>
      </c>
      <c r="C2" s="87"/>
    </row>
    <row r="3" spans="2:21" ht="15.75" customHeight="1">
      <c r="B3" s="60" t="str">
        <f>+'AVAV-DCF'!$B$3</f>
        <v>($ in Thousands Except Per Share and Per Unit Data)</v>
      </c>
    </row>
    <row r="4" spans="2:21" ht="15.75" customHeight="1"/>
    <row r="5" spans="2:21" ht="15.75" customHeight="1">
      <c r="B5" s="104" t="s">
        <v>151</v>
      </c>
      <c r="C5" s="104"/>
      <c r="D5" s="105"/>
      <c r="E5" s="105"/>
      <c r="F5" s="105"/>
      <c r="G5" s="106"/>
      <c r="H5" s="106"/>
    </row>
    <row r="6" spans="2:21" ht="15.75" customHeight="1">
      <c r="B6" s="60" t="s">
        <v>152</v>
      </c>
      <c r="C6" s="60"/>
      <c r="F6" s="107">
        <v>4.1200000000000001E-2</v>
      </c>
      <c r="G6" s="108"/>
      <c r="H6" s="108"/>
    </row>
    <row r="7" spans="2:21" ht="15.75" customHeight="1">
      <c r="B7" s="60" t="s">
        <v>153</v>
      </c>
      <c r="C7" s="60"/>
      <c r="F7" s="107">
        <v>5.5E-2</v>
      </c>
      <c r="G7" s="108"/>
      <c r="H7" s="108"/>
    </row>
    <row r="8" spans="2:21" ht="15.75" customHeight="1">
      <c r="B8" s="60" t="s">
        <v>154</v>
      </c>
      <c r="C8" s="60"/>
      <c r="F8" s="236">
        <v>5.9499999999999997E-2</v>
      </c>
      <c r="G8" s="108"/>
      <c r="H8" s="108"/>
      <c r="I8" s="109"/>
      <c r="J8" s="109"/>
    </row>
    <row r="9" spans="2:21" ht="15.75" customHeight="1">
      <c r="B9" s="60" t="s">
        <v>155</v>
      </c>
      <c r="C9" s="60"/>
      <c r="F9" s="107">
        <v>0</v>
      </c>
      <c r="G9" s="108"/>
      <c r="H9" s="108"/>
      <c r="I9" s="109"/>
      <c r="J9" s="109"/>
    </row>
    <row r="10" spans="2:21" ht="15.75" customHeight="1">
      <c r="B10" s="60" t="s">
        <v>156</v>
      </c>
      <c r="C10" s="60"/>
      <c r="F10" s="480">
        <v>1.65</v>
      </c>
      <c r="G10" s="108"/>
      <c r="H10" s="108"/>
      <c r="I10" s="109"/>
      <c r="J10" s="109"/>
    </row>
    <row r="11" spans="2:21" ht="15.75" customHeight="1"/>
    <row r="12" spans="2:21" ht="15.75" hidden="1" customHeight="1" outlineLevel="1">
      <c r="B12" s="110" t="e">
        <f>+Inputs!#REF!</f>
        <v>#REF!</v>
      </c>
      <c r="C12" s="111"/>
      <c r="D12" s="111" t="e">
        <f>+Inputs!#REF!</f>
        <v>#REF!</v>
      </c>
      <c r="E12" s="111" t="e">
        <f>+Inputs!#REF!</f>
        <v>#REF!</v>
      </c>
      <c r="F12" s="111"/>
      <c r="G12" s="111" t="e">
        <f>+Inputs!#REF!</f>
        <v>#REF!</v>
      </c>
      <c r="H12" s="111"/>
      <c r="I12" s="110" t="e">
        <f>+Inputs!#REF!</f>
        <v>#REF!</v>
      </c>
      <c r="J12" s="110"/>
      <c r="K12" s="111" t="e">
        <f>+Inputs!#REF!</f>
        <v>#REF!</v>
      </c>
    </row>
    <row r="13" spans="2:21" ht="15.75" customHeight="1" collapsed="1">
      <c r="B13" s="112" t="s">
        <v>157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</row>
    <row r="14" spans="2:21" ht="15.75" customHeight="1">
      <c r="B14" s="112"/>
      <c r="C14" s="112"/>
      <c r="D14" s="113" t="s">
        <v>158</v>
      </c>
      <c r="E14" s="113"/>
      <c r="F14" s="113"/>
      <c r="G14" s="113" t="s">
        <v>159</v>
      </c>
      <c r="H14" s="113"/>
      <c r="I14" s="113" t="s">
        <v>160</v>
      </c>
      <c r="J14" s="113"/>
      <c r="K14" s="574" t="s">
        <v>161</v>
      </c>
      <c r="L14" s="113" t="s">
        <v>162</v>
      </c>
    </row>
    <row r="15" spans="2:21" ht="15.75" customHeight="1">
      <c r="B15" s="114" t="s">
        <v>163</v>
      </c>
      <c r="C15" s="114" t="s">
        <v>164</v>
      </c>
      <c r="D15" s="487" t="s">
        <v>165</v>
      </c>
      <c r="E15" s="487" t="s">
        <v>166</v>
      </c>
      <c r="F15" s="487" t="s">
        <v>167</v>
      </c>
      <c r="G15" s="487" t="s">
        <v>168</v>
      </c>
      <c r="H15" s="487" t="s">
        <v>169</v>
      </c>
      <c r="I15" s="487" t="s">
        <v>170</v>
      </c>
      <c r="J15" s="487" t="s">
        <v>171</v>
      </c>
      <c r="K15" s="594"/>
      <c r="L15" s="487" t="s">
        <v>165</v>
      </c>
    </row>
    <row r="16" spans="2:21" ht="15.75" customHeight="1">
      <c r="B16" s="88" t="str">
        <f>'Public Comps'!B9</f>
        <v>Heico Corporation</v>
      </c>
      <c r="C16" s="476" t="str">
        <f>'Public Comps'!C9</f>
        <v>HEI</v>
      </c>
      <c r="D16" s="475">
        <v>0.9</v>
      </c>
      <c r="E16" s="472">
        <v>1150</v>
      </c>
      <c r="F16" s="473">
        <v>3.5999999999999997E-2</v>
      </c>
      <c r="G16" s="470">
        <v>0</v>
      </c>
      <c r="H16" s="470">
        <v>0</v>
      </c>
      <c r="I16" s="472">
        <v>30500</v>
      </c>
      <c r="J16" s="473">
        <v>0.96399999999999997</v>
      </c>
      <c r="K16" s="474">
        <v>0.23</v>
      </c>
      <c r="L16" s="115">
        <f>D16/(1+(F16/J16)*(1-K16))</f>
        <v>0.87484370588472549</v>
      </c>
      <c r="N16" s="467"/>
      <c r="O16" s="469"/>
      <c r="P16" s="469"/>
      <c r="Q16" s="469"/>
      <c r="R16" s="469"/>
      <c r="S16" s="467"/>
      <c r="T16" s="469"/>
      <c r="U16" s="469"/>
    </row>
    <row r="17" spans="2:21" ht="15.75" customHeight="1">
      <c r="B17" s="88" t="str">
        <f>'Public Comps'!B10</f>
        <v>Teledyne Technologies Inc.</v>
      </c>
      <c r="C17" s="476" t="str">
        <f>'Public Comps'!C10</f>
        <v>TDY</v>
      </c>
      <c r="D17" s="475">
        <v>1.05</v>
      </c>
      <c r="E17" s="472">
        <v>3900</v>
      </c>
      <c r="F17" s="473">
        <v>0.17199999999999999</v>
      </c>
      <c r="G17" s="470">
        <v>0</v>
      </c>
      <c r="H17" s="470">
        <v>0</v>
      </c>
      <c r="I17" s="472">
        <v>18800</v>
      </c>
      <c r="J17" s="473">
        <v>0.82799999999999996</v>
      </c>
      <c r="K17" s="474">
        <v>0.21</v>
      </c>
      <c r="L17" s="115">
        <f t="shared" ref="L17:L25" si="0">D17/(1+(F17/J17)*(1-K17))</f>
        <v>0.90197949952276224</v>
      </c>
      <c r="N17" s="471"/>
      <c r="P17" s="472"/>
      <c r="R17" s="473"/>
      <c r="S17" s="470"/>
      <c r="T17" s="469"/>
      <c r="U17" s="474"/>
    </row>
    <row r="18" spans="2:21" ht="15.75" customHeight="1">
      <c r="B18" s="88" t="str">
        <f>'Public Comps'!B11</f>
        <v>Curtiss-Wright Corporation</v>
      </c>
      <c r="C18" s="476" t="str">
        <f>'Public Comps'!C11</f>
        <v>CW</v>
      </c>
      <c r="D18" s="475">
        <v>1.1000000000000001</v>
      </c>
      <c r="E18" s="468">
        <v>950</v>
      </c>
      <c r="F18" s="473">
        <v>7.5999999999999998E-2</v>
      </c>
      <c r="G18" s="470">
        <v>0</v>
      </c>
      <c r="H18" s="470">
        <v>0</v>
      </c>
      <c r="I18" s="472">
        <v>11600</v>
      </c>
      <c r="J18" s="473">
        <v>0.92400000000000004</v>
      </c>
      <c r="K18" s="474">
        <v>0.22</v>
      </c>
      <c r="L18" s="115">
        <f t="shared" si="0"/>
        <v>1.0336831828166952</v>
      </c>
      <c r="N18" s="471"/>
      <c r="P18" s="472"/>
      <c r="R18" s="473"/>
      <c r="S18" s="470"/>
      <c r="T18" s="469"/>
      <c r="U18" s="474"/>
    </row>
    <row r="19" spans="2:21" ht="15.75" customHeight="1">
      <c r="B19" s="88" t="str">
        <f>'Public Comps'!B12</f>
        <v>Textron Inc.</v>
      </c>
      <c r="C19" s="476" t="str">
        <f>'Public Comps'!C12</f>
        <v>TXT</v>
      </c>
      <c r="D19" s="475">
        <v>1.35</v>
      </c>
      <c r="E19" s="472">
        <v>5400</v>
      </c>
      <c r="F19" s="473">
        <v>0.249</v>
      </c>
      <c r="G19" s="470">
        <v>0</v>
      </c>
      <c r="H19" s="470">
        <v>0</v>
      </c>
      <c r="I19" s="472">
        <v>16300</v>
      </c>
      <c r="J19" s="473">
        <v>0.751</v>
      </c>
      <c r="K19" s="474">
        <v>0.23</v>
      </c>
      <c r="L19" s="115">
        <f t="shared" si="0"/>
        <v>1.0754404760641967</v>
      </c>
      <c r="N19" s="471"/>
      <c r="P19" s="472"/>
      <c r="R19" s="473"/>
      <c r="S19" s="470"/>
      <c r="T19" s="469"/>
      <c r="U19" s="474"/>
    </row>
    <row r="20" spans="2:21" ht="15.75" customHeight="1">
      <c r="B20" s="88" t="str">
        <f>'Public Comps'!B13</f>
        <v>Kratos Defense &amp; Security Solutions, Inc.</v>
      </c>
      <c r="C20" s="476" t="str">
        <f>'Public Comps'!C13</f>
        <v>KTOS</v>
      </c>
      <c r="D20" s="475">
        <v>1.4</v>
      </c>
      <c r="E20" s="468">
        <v>350</v>
      </c>
      <c r="F20" s="473">
        <v>8.4000000000000005E-2</v>
      </c>
      <c r="G20" s="470">
        <v>0</v>
      </c>
      <c r="H20" s="470">
        <v>0</v>
      </c>
      <c r="I20" s="472">
        <v>3800</v>
      </c>
      <c r="J20" s="473">
        <v>0.91600000000000004</v>
      </c>
      <c r="K20" s="474">
        <v>0.21</v>
      </c>
      <c r="L20" s="115">
        <f t="shared" si="0"/>
        <v>1.3054277454293741</v>
      </c>
      <c r="N20" s="471"/>
      <c r="P20" s="472"/>
      <c r="R20" s="473"/>
      <c r="S20" s="470"/>
      <c r="T20" s="469"/>
      <c r="U20" s="474"/>
    </row>
    <row r="21" spans="2:21" ht="15.75" customHeight="1">
      <c r="B21" s="88" t="str">
        <f>'Public Comps'!B14</f>
        <v>Huntington Ingalls Industries, Inc.</v>
      </c>
      <c r="C21" s="476" t="str">
        <f>'Public Comps'!C14</f>
        <v>HII</v>
      </c>
      <c r="D21" s="475">
        <v>1.2</v>
      </c>
      <c r="E21" s="472">
        <v>2800</v>
      </c>
      <c r="F21" s="473">
        <v>0.30099999999999999</v>
      </c>
      <c r="G21" s="470">
        <v>0</v>
      </c>
      <c r="H21" s="470">
        <v>0</v>
      </c>
      <c r="I21" s="472">
        <v>6500</v>
      </c>
      <c r="J21" s="473">
        <v>0.69899999999999995</v>
      </c>
      <c r="K21" s="474">
        <v>0.22</v>
      </c>
      <c r="L21" s="115">
        <f t="shared" si="0"/>
        <v>0.89828439246931813</v>
      </c>
      <c r="N21" s="471"/>
      <c r="P21" s="472"/>
      <c r="R21" s="473"/>
      <c r="S21" s="470"/>
      <c r="T21" s="469"/>
      <c r="U21" s="474"/>
    </row>
    <row r="22" spans="2:21" ht="15.75" customHeight="1">
      <c r="B22" s="88" t="str">
        <f>'Public Comps'!B15</f>
        <v>Hexcel Corporation</v>
      </c>
      <c r="C22" s="476" t="str">
        <f>'Public Comps'!C15</f>
        <v>HXL</v>
      </c>
      <c r="D22" s="475">
        <v>1.45</v>
      </c>
      <c r="E22" s="472">
        <v>1150</v>
      </c>
      <c r="F22" s="473">
        <v>0.21099999999999999</v>
      </c>
      <c r="G22" s="470">
        <v>0</v>
      </c>
      <c r="H22" s="470">
        <v>0</v>
      </c>
      <c r="I22" s="472">
        <v>4300</v>
      </c>
      <c r="J22" s="473">
        <v>0.78900000000000003</v>
      </c>
      <c r="K22" s="474">
        <v>0.23</v>
      </c>
      <c r="L22" s="115">
        <f t="shared" si="0"/>
        <v>1.2024025980850683</v>
      </c>
      <c r="N22" s="471"/>
      <c r="P22" s="472"/>
      <c r="R22" s="473"/>
      <c r="S22" s="470"/>
      <c r="T22" s="469"/>
      <c r="U22" s="474"/>
    </row>
    <row r="23" spans="2:21" ht="15.75" customHeight="1">
      <c r="B23" s="88" t="str">
        <f>'Public Comps'!B16</f>
        <v>Spirit Aerosystems Holdigns, Inc.</v>
      </c>
      <c r="C23" s="476" t="str">
        <f>'Public Comps'!C16</f>
        <v>SPR</v>
      </c>
      <c r="D23" s="475">
        <v>2.1</v>
      </c>
      <c r="E23" s="472">
        <v>4200</v>
      </c>
      <c r="F23" s="473">
        <v>0.57499999999999996</v>
      </c>
      <c r="G23" s="470">
        <v>0</v>
      </c>
      <c r="H23" s="470">
        <v>0</v>
      </c>
      <c r="I23" s="472">
        <v>3100</v>
      </c>
      <c r="J23" s="473">
        <v>0.42499999999999999</v>
      </c>
      <c r="K23" s="474">
        <v>0.25</v>
      </c>
      <c r="L23" s="115">
        <f t="shared" si="0"/>
        <v>1.0423357664233577</v>
      </c>
      <c r="N23" s="471"/>
      <c r="P23" s="472"/>
      <c r="R23" s="473"/>
      <c r="S23" s="470"/>
      <c r="T23" s="469"/>
      <c r="U23" s="474"/>
    </row>
    <row r="24" spans="2:21" ht="15.75" customHeight="1">
      <c r="B24" s="88" t="str">
        <f>'Public Comps'!B17</f>
        <v>AAR Corporation</v>
      </c>
      <c r="C24" s="476" t="str">
        <f>'Public Comps'!C17</f>
        <v>AIR</v>
      </c>
      <c r="D24" s="475">
        <v>1.3</v>
      </c>
      <c r="E24" s="472">
        <v>1050</v>
      </c>
      <c r="F24" s="473">
        <v>0.30399999999999999</v>
      </c>
      <c r="G24" s="470">
        <v>0</v>
      </c>
      <c r="H24" s="470">
        <v>0</v>
      </c>
      <c r="I24" s="472">
        <v>2400</v>
      </c>
      <c r="J24" s="473">
        <v>0.69599999999999995</v>
      </c>
      <c r="K24" s="474">
        <v>0.24</v>
      </c>
      <c r="L24" s="115">
        <f t="shared" si="0"/>
        <v>0.9760096651708664</v>
      </c>
      <c r="N24" s="471"/>
      <c r="P24" s="472"/>
      <c r="R24" s="473"/>
      <c r="S24" s="470"/>
      <c r="T24" s="469"/>
      <c r="U24" s="474"/>
    </row>
    <row r="25" spans="2:21" ht="15.75" customHeight="1">
      <c r="B25" s="88" t="str">
        <f>'Public Comps'!B18</f>
        <v>Astronics Corporation</v>
      </c>
      <c r="C25" s="476" t="str">
        <f>'Public Comps'!C18</f>
        <v>ATRO</v>
      </c>
      <c r="D25" s="475">
        <v>1.6</v>
      </c>
      <c r="E25" s="468">
        <v>190</v>
      </c>
      <c r="F25" s="473">
        <v>0.20899999999999999</v>
      </c>
      <c r="G25" s="470">
        <v>0</v>
      </c>
      <c r="H25" s="470">
        <v>0</v>
      </c>
      <c r="I25" s="468">
        <v>720</v>
      </c>
      <c r="J25" s="473">
        <v>0.79100000000000004</v>
      </c>
      <c r="K25" s="474">
        <v>0.23</v>
      </c>
      <c r="L25" s="115">
        <f t="shared" si="0"/>
        <v>1.3295095227590266</v>
      </c>
      <c r="N25" s="471"/>
      <c r="P25" s="472"/>
      <c r="R25" s="473"/>
      <c r="S25" s="470"/>
      <c r="T25" s="469"/>
      <c r="U25" s="474"/>
    </row>
    <row r="26" spans="2:21" ht="15.75" customHeight="1">
      <c r="N26" s="471"/>
      <c r="P26" s="468"/>
      <c r="R26" s="473"/>
      <c r="S26" s="470"/>
      <c r="T26" s="469"/>
      <c r="U26" s="474"/>
    </row>
    <row r="27" spans="2:21" ht="15.75" customHeight="1">
      <c r="B27" s="116" t="s">
        <v>172</v>
      </c>
      <c r="C27" s="117"/>
      <c r="D27" s="118">
        <f>MEDIAN(D16:D25)</f>
        <v>1.3250000000000002</v>
      </c>
      <c r="E27" s="118">
        <f t="shared" ref="E27:L27" si="1">MEDIAN(E16:E25)</f>
        <v>1150</v>
      </c>
      <c r="F27" s="477">
        <f t="shared" si="1"/>
        <v>0.21</v>
      </c>
      <c r="G27" s="118">
        <f t="shared" si="1"/>
        <v>0</v>
      </c>
      <c r="H27" s="118">
        <f t="shared" si="1"/>
        <v>0</v>
      </c>
      <c r="I27" s="118">
        <f t="shared" si="1"/>
        <v>5400</v>
      </c>
      <c r="J27" s="477">
        <f t="shared" si="1"/>
        <v>0.79</v>
      </c>
      <c r="K27" s="477">
        <f t="shared" si="1"/>
        <v>0.23</v>
      </c>
      <c r="L27" s="118">
        <f t="shared" si="1"/>
        <v>1.0380094746200266</v>
      </c>
    </row>
    <row r="28" spans="2:21" ht="15.75" customHeight="1"/>
    <row r="29" spans="2:21" ht="15.75" customHeight="1">
      <c r="B29" s="112" t="str">
        <f>TEXT(Company_Name,"")&amp; " - Levered Beta &amp; WACC Calculation:"</f>
        <v>AeroVironment, Inc.  - Levered Beta &amp; WACC Calculation: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2"/>
    </row>
    <row r="30" spans="2:21" ht="15.75" customHeight="1">
      <c r="B30" s="112"/>
      <c r="C30" s="112"/>
      <c r="D30" s="113" t="s">
        <v>162</v>
      </c>
      <c r="E30" s="113"/>
      <c r="F30" s="113"/>
      <c r="G30" s="113" t="s">
        <v>159</v>
      </c>
      <c r="H30" s="113"/>
      <c r="I30" s="113" t="s">
        <v>160</v>
      </c>
      <c r="J30" s="113"/>
      <c r="K30" s="113"/>
      <c r="L30" s="113" t="s">
        <v>158</v>
      </c>
    </row>
    <row r="31" spans="2:21" ht="15.75" customHeight="1">
      <c r="B31" s="114"/>
      <c r="C31" s="114" t="s">
        <v>164</v>
      </c>
      <c r="D31" s="487" t="s">
        <v>165</v>
      </c>
      <c r="E31" s="487" t="s">
        <v>166</v>
      </c>
      <c r="F31" s="487" t="s">
        <v>167</v>
      </c>
      <c r="G31" s="487" t="s">
        <v>168</v>
      </c>
      <c r="H31" s="487" t="s">
        <v>169</v>
      </c>
      <c r="I31" s="487" t="s">
        <v>170</v>
      </c>
      <c r="J31" s="487" t="s">
        <v>171</v>
      </c>
      <c r="K31" s="487" t="s">
        <v>173</v>
      </c>
      <c r="L31" s="487" t="s">
        <v>165</v>
      </c>
    </row>
    <row r="32" spans="2:21" ht="15.75" customHeight="1">
      <c r="B32" s="70" t="s">
        <v>174</v>
      </c>
      <c r="C32" s="70" t="str">
        <f>Ticker</f>
        <v>AVAV</v>
      </c>
      <c r="D32" s="121">
        <f>L27</f>
        <v>1.0380094746200266</v>
      </c>
      <c r="E32" s="122">
        <f>(5638466-4418081)/Units</f>
        <v>1220.385</v>
      </c>
      <c r="F32" s="123">
        <f>E32/($E32+$G32+$I32)</f>
        <v>0.21643918753788707</v>
      </c>
      <c r="G32" s="122">
        <v>0</v>
      </c>
      <c r="H32" s="123">
        <f>G32/($E32+$G32+$I32)</f>
        <v>0</v>
      </c>
      <c r="I32" s="122">
        <f>4418081/Units</f>
        <v>4418.0810000000001</v>
      </c>
      <c r="J32" s="123">
        <f>I32/($E32+$G32+$I32)</f>
        <v>0.78356081246211284</v>
      </c>
      <c r="K32" s="124">
        <f>Tax_Rate</f>
        <v>0.16655</v>
      </c>
      <c r="L32" s="125">
        <f>D32*(1+((F32/J32)*(1-K32)))</f>
        <v>1.2769798444576583</v>
      </c>
    </row>
    <row r="33" spans="2:12" ht="15.75" customHeight="1">
      <c r="B33" s="60" t="s">
        <v>175</v>
      </c>
      <c r="C33" s="60" t="str">
        <f>Ticker</f>
        <v>AVAV</v>
      </c>
      <c r="D33" s="126">
        <f>L27</f>
        <v>1.0380094746200266</v>
      </c>
      <c r="E33" s="127">
        <f>F33*($E32+$G32+$I32)</f>
        <v>1184.0778600000001</v>
      </c>
      <c r="F33" s="128">
        <f>F27</f>
        <v>0.21</v>
      </c>
      <c r="G33" s="127">
        <f>H33*($E32+$G32+$I32)</f>
        <v>0</v>
      </c>
      <c r="H33" s="128">
        <f>H27</f>
        <v>0</v>
      </c>
      <c r="I33" s="127">
        <f>J33*($E32+$G32+$I32)</f>
        <v>4454.3881400000009</v>
      </c>
      <c r="J33" s="128">
        <f>J27</f>
        <v>0.79</v>
      </c>
      <c r="K33" s="129">
        <f>Tax_Rate</f>
        <v>0.16655</v>
      </c>
      <c r="L33" s="479">
        <f>D33*(1+((F33/J33)*(1-K33)))</f>
        <v>1.2679804737220934</v>
      </c>
    </row>
    <row r="34" spans="2:12" ht="15.75" customHeight="1"/>
    <row r="35" spans="2:12" ht="15.75" customHeight="1">
      <c r="B35" s="130" t="s">
        <v>176</v>
      </c>
      <c r="C35" s="131"/>
      <c r="D35" s="131"/>
      <c r="E35" s="131"/>
      <c r="F35" s="131"/>
      <c r="G35" s="131"/>
      <c r="H35" s="131"/>
      <c r="I35" s="131"/>
      <c r="J35" s="131"/>
      <c r="K35" s="131"/>
      <c r="L35" s="464">
        <f>Risk_Free_Rate+L32*Equity_Risk_Premium</f>
        <v>0.11143389144517121</v>
      </c>
    </row>
    <row r="36" spans="2:12" ht="15.75" customHeight="1">
      <c r="B36" s="132" t="s">
        <v>177</v>
      </c>
      <c r="C36" s="133"/>
      <c r="D36" s="133"/>
      <c r="E36" s="133"/>
      <c r="F36" s="133"/>
      <c r="G36" s="133"/>
      <c r="H36" s="133"/>
      <c r="I36" s="133"/>
      <c r="J36" s="133"/>
      <c r="K36" s="133"/>
      <c r="L36" s="465">
        <f>Risk_Free_Rate+L33*Equity_Risk_Premium</f>
        <v>0.11093892605471514</v>
      </c>
    </row>
    <row r="37" spans="2:12" ht="15.75" customHeight="1">
      <c r="B37" s="134" t="s">
        <v>178</v>
      </c>
      <c r="C37" s="135"/>
      <c r="D37" s="135"/>
      <c r="E37" s="135"/>
      <c r="F37" s="135"/>
      <c r="G37" s="135"/>
      <c r="H37" s="135"/>
      <c r="I37" s="135"/>
      <c r="J37" s="135"/>
      <c r="K37" s="135"/>
      <c r="L37" s="466">
        <f>Risk_Free_Rate+(Beta*Equity_Risk_Premium)</f>
        <v>0.13195000000000001</v>
      </c>
    </row>
    <row r="38" spans="2:12" ht="15.75" customHeight="1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2:12" ht="15.75" customHeight="1">
      <c r="B39" s="60" t="s">
        <v>179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</row>
    <row r="40" spans="2:12" ht="15.75" customHeight="1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2" ht="15.75" customHeight="1">
      <c r="B41" s="130" t="s">
        <v>180</v>
      </c>
      <c r="C41" s="131"/>
      <c r="D41" s="131"/>
      <c r="E41" s="131"/>
      <c r="F41" s="131"/>
      <c r="G41" s="131"/>
      <c r="H41" s="131"/>
      <c r="I41" s="131"/>
      <c r="J41" s="131"/>
      <c r="K41" s="131"/>
      <c r="L41" s="136">
        <f>(L35*J32) + (Cost_of_Debt*F32*(1-Tax_Rate)) + (Cost_of_Preferred*H32)</f>
        <v>9.8048509347373636E-2</v>
      </c>
    </row>
    <row r="42" spans="2:12" ht="15.75" customHeight="1">
      <c r="B42" s="132" t="s">
        <v>181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7">
        <f>(L37*J32) + (Cost_of_Debt*F32*(1-Tax_Rate)) + (Cost_of_Preferred*H32)</f>
        <v>0.11412412803515619</v>
      </c>
    </row>
    <row r="43" spans="2:12" ht="15.75" customHeight="1">
      <c r="B43" s="134" t="s">
        <v>182</v>
      </c>
      <c r="C43" s="135"/>
      <c r="D43" s="135"/>
      <c r="E43" s="135"/>
      <c r="F43" s="135"/>
      <c r="G43" s="135"/>
      <c r="H43" s="135"/>
      <c r="I43" s="135"/>
      <c r="J43" s="135"/>
      <c r="K43" s="135"/>
      <c r="L43" s="138">
        <f>(L36*J33) + (Cost_of_Debt*F33*(1-Tax_Rate)) + (Cost_of_Preferred*H33)</f>
        <v>9.8055709333224966E-2</v>
      </c>
    </row>
    <row r="44" spans="2:12" ht="15.75" customHeight="1"/>
    <row r="45" spans="2:12" ht="15.75" customHeight="1">
      <c r="B45" s="119" t="s">
        <v>183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39">
        <f>AVERAGE(L41:L43)</f>
        <v>0.10340944890525161</v>
      </c>
    </row>
  </sheetData>
  <mergeCells count="1">
    <mergeCell ref="K14:K15"/>
  </mergeCells>
  <pageMargins left="0.7" right="0.7" top="0.75" bottom="0.75" header="0.3" footer="0.3"/>
  <pageSetup scale="57" orientation="portrait" r:id="rId1"/>
  <ignoredErrors>
    <ignoredError sqref="J2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B2:J51"/>
  <sheetViews>
    <sheetView showGridLines="0" topLeftCell="A26" zoomScale="90" zoomScaleNormal="100" workbookViewId="0">
      <selection activeCell="G29" sqref="G29:G30"/>
    </sheetView>
  </sheetViews>
  <sheetFormatPr defaultColWidth="9.109375" defaultRowHeight="15.6" outlineLevelRow="1" outlineLevelCol="1"/>
  <cols>
    <col min="1" max="1" width="1.6640625" style="60" customWidth="1"/>
    <col min="2" max="2" width="50.6640625" style="60" bestFit="1" customWidth="1"/>
    <col min="3" max="4" width="12.33203125" style="60" customWidth="1" outlineLevel="1"/>
    <col min="5" max="6" width="13.33203125" style="60" bestFit="1" customWidth="1"/>
    <col min="7" max="8" width="18.88671875" style="60" bestFit="1" customWidth="1"/>
    <col min="9" max="9" width="21.33203125" style="60" bestFit="1" customWidth="1"/>
    <col min="10" max="10" width="15.109375" style="60" bestFit="1" customWidth="1"/>
    <col min="11" max="11" width="2.6640625" style="60" customWidth="1"/>
    <col min="12" max="12" width="10.109375" style="60" customWidth="1"/>
    <col min="13" max="247" width="9.109375" style="60"/>
    <col min="248" max="248" width="1.6640625" style="60" customWidth="1"/>
    <col min="249" max="249" width="20.6640625" style="60" customWidth="1"/>
    <col min="250" max="268" width="10.109375" style="60" customWidth="1"/>
    <col min="269" max="503" width="9.109375" style="60"/>
    <col min="504" max="504" width="1.6640625" style="60" customWidth="1"/>
    <col min="505" max="505" width="20.6640625" style="60" customWidth="1"/>
    <col min="506" max="524" width="10.109375" style="60" customWidth="1"/>
    <col min="525" max="759" width="9.109375" style="60"/>
    <col min="760" max="760" width="1.6640625" style="60" customWidth="1"/>
    <col min="761" max="761" width="20.6640625" style="60" customWidth="1"/>
    <col min="762" max="780" width="10.109375" style="60" customWidth="1"/>
    <col min="781" max="1015" width="9.109375" style="60"/>
    <col min="1016" max="1016" width="1.6640625" style="60" customWidth="1"/>
    <col min="1017" max="1017" width="20.6640625" style="60" customWidth="1"/>
    <col min="1018" max="1036" width="10.109375" style="60" customWidth="1"/>
    <col min="1037" max="1271" width="9.109375" style="60"/>
    <col min="1272" max="1272" width="1.6640625" style="60" customWidth="1"/>
    <col min="1273" max="1273" width="20.6640625" style="60" customWidth="1"/>
    <col min="1274" max="1292" width="10.109375" style="60" customWidth="1"/>
    <col min="1293" max="1527" width="9.109375" style="60"/>
    <col min="1528" max="1528" width="1.6640625" style="60" customWidth="1"/>
    <col min="1529" max="1529" width="20.6640625" style="60" customWidth="1"/>
    <col min="1530" max="1548" width="10.109375" style="60" customWidth="1"/>
    <col min="1549" max="1783" width="9.109375" style="60"/>
    <col min="1784" max="1784" width="1.6640625" style="60" customWidth="1"/>
    <col min="1785" max="1785" width="20.6640625" style="60" customWidth="1"/>
    <col min="1786" max="1804" width="10.109375" style="60" customWidth="1"/>
    <col min="1805" max="2039" width="9.109375" style="60"/>
    <col min="2040" max="2040" width="1.6640625" style="60" customWidth="1"/>
    <col min="2041" max="2041" width="20.6640625" style="60" customWidth="1"/>
    <col min="2042" max="2060" width="10.109375" style="60" customWidth="1"/>
    <col min="2061" max="2295" width="9.109375" style="60"/>
    <col min="2296" max="2296" width="1.6640625" style="60" customWidth="1"/>
    <col min="2297" max="2297" width="20.6640625" style="60" customWidth="1"/>
    <col min="2298" max="2316" width="10.109375" style="60" customWidth="1"/>
    <col min="2317" max="2551" width="9.109375" style="60"/>
    <col min="2552" max="2552" width="1.6640625" style="60" customWidth="1"/>
    <col min="2553" max="2553" width="20.6640625" style="60" customWidth="1"/>
    <col min="2554" max="2572" width="10.109375" style="60" customWidth="1"/>
    <col min="2573" max="2807" width="9.109375" style="60"/>
    <col min="2808" max="2808" width="1.6640625" style="60" customWidth="1"/>
    <col min="2809" max="2809" width="20.6640625" style="60" customWidth="1"/>
    <col min="2810" max="2828" width="10.109375" style="60" customWidth="1"/>
    <col min="2829" max="3063" width="9.109375" style="60"/>
    <col min="3064" max="3064" width="1.6640625" style="60" customWidth="1"/>
    <col min="3065" max="3065" width="20.6640625" style="60" customWidth="1"/>
    <col min="3066" max="3084" width="10.109375" style="60" customWidth="1"/>
    <col min="3085" max="3319" width="9.109375" style="60"/>
    <col min="3320" max="3320" width="1.6640625" style="60" customWidth="1"/>
    <col min="3321" max="3321" width="20.6640625" style="60" customWidth="1"/>
    <col min="3322" max="3340" width="10.109375" style="60" customWidth="1"/>
    <col min="3341" max="3575" width="9.109375" style="60"/>
    <col min="3576" max="3576" width="1.6640625" style="60" customWidth="1"/>
    <col min="3577" max="3577" width="20.6640625" style="60" customWidth="1"/>
    <col min="3578" max="3596" width="10.109375" style="60" customWidth="1"/>
    <col min="3597" max="3831" width="9.109375" style="60"/>
    <col min="3832" max="3832" width="1.6640625" style="60" customWidth="1"/>
    <col min="3833" max="3833" width="20.6640625" style="60" customWidth="1"/>
    <col min="3834" max="3852" width="10.109375" style="60" customWidth="1"/>
    <col min="3853" max="4087" width="9.109375" style="60"/>
    <col min="4088" max="4088" width="1.6640625" style="60" customWidth="1"/>
    <col min="4089" max="4089" width="20.6640625" style="60" customWidth="1"/>
    <col min="4090" max="4108" width="10.109375" style="60" customWidth="1"/>
    <col min="4109" max="4343" width="9.109375" style="60"/>
    <col min="4344" max="4344" width="1.6640625" style="60" customWidth="1"/>
    <col min="4345" max="4345" width="20.6640625" style="60" customWidth="1"/>
    <col min="4346" max="4364" width="10.109375" style="60" customWidth="1"/>
    <col min="4365" max="4599" width="9.109375" style="60"/>
    <col min="4600" max="4600" width="1.6640625" style="60" customWidth="1"/>
    <col min="4601" max="4601" width="20.6640625" style="60" customWidth="1"/>
    <col min="4602" max="4620" width="10.109375" style="60" customWidth="1"/>
    <col min="4621" max="4855" width="9.109375" style="60"/>
    <col min="4856" max="4856" width="1.6640625" style="60" customWidth="1"/>
    <col min="4857" max="4857" width="20.6640625" style="60" customWidth="1"/>
    <col min="4858" max="4876" width="10.109375" style="60" customWidth="1"/>
    <col min="4877" max="5111" width="9.109375" style="60"/>
    <col min="5112" max="5112" width="1.6640625" style="60" customWidth="1"/>
    <col min="5113" max="5113" width="20.6640625" style="60" customWidth="1"/>
    <col min="5114" max="5132" width="10.109375" style="60" customWidth="1"/>
    <col min="5133" max="5367" width="9.109375" style="60"/>
    <col min="5368" max="5368" width="1.6640625" style="60" customWidth="1"/>
    <col min="5369" max="5369" width="20.6640625" style="60" customWidth="1"/>
    <col min="5370" max="5388" width="10.109375" style="60" customWidth="1"/>
    <col min="5389" max="5623" width="9.109375" style="60"/>
    <col min="5624" max="5624" width="1.6640625" style="60" customWidth="1"/>
    <col min="5625" max="5625" width="20.6640625" style="60" customWidth="1"/>
    <col min="5626" max="5644" width="10.109375" style="60" customWidth="1"/>
    <col min="5645" max="5879" width="9.109375" style="60"/>
    <col min="5880" max="5880" width="1.6640625" style="60" customWidth="1"/>
    <col min="5881" max="5881" width="20.6640625" style="60" customWidth="1"/>
    <col min="5882" max="5900" width="10.109375" style="60" customWidth="1"/>
    <col min="5901" max="6135" width="9.109375" style="60"/>
    <col min="6136" max="6136" width="1.6640625" style="60" customWidth="1"/>
    <col min="6137" max="6137" width="20.6640625" style="60" customWidth="1"/>
    <col min="6138" max="6156" width="10.109375" style="60" customWidth="1"/>
    <col min="6157" max="6391" width="9.109375" style="60"/>
    <col min="6392" max="6392" width="1.6640625" style="60" customWidth="1"/>
    <col min="6393" max="6393" width="20.6640625" style="60" customWidth="1"/>
    <col min="6394" max="6412" width="10.109375" style="60" customWidth="1"/>
    <col min="6413" max="6647" width="9.109375" style="60"/>
    <col min="6648" max="6648" width="1.6640625" style="60" customWidth="1"/>
    <col min="6649" max="6649" width="20.6640625" style="60" customWidth="1"/>
    <col min="6650" max="6668" width="10.109375" style="60" customWidth="1"/>
    <col min="6669" max="6903" width="9.109375" style="60"/>
    <col min="6904" max="6904" width="1.6640625" style="60" customWidth="1"/>
    <col min="6905" max="6905" width="20.6640625" style="60" customWidth="1"/>
    <col min="6906" max="6924" width="10.109375" style="60" customWidth="1"/>
    <col min="6925" max="7159" width="9.109375" style="60"/>
    <col min="7160" max="7160" width="1.6640625" style="60" customWidth="1"/>
    <col min="7161" max="7161" width="20.6640625" style="60" customWidth="1"/>
    <col min="7162" max="7180" width="10.109375" style="60" customWidth="1"/>
    <col min="7181" max="7415" width="9.109375" style="60"/>
    <col min="7416" max="7416" width="1.6640625" style="60" customWidth="1"/>
    <col min="7417" max="7417" width="20.6640625" style="60" customWidth="1"/>
    <col min="7418" max="7436" width="10.109375" style="60" customWidth="1"/>
    <col min="7437" max="7671" width="9.109375" style="60"/>
    <col min="7672" max="7672" width="1.6640625" style="60" customWidth="1"/>
    <col min="7673" max="7673" width="20.6640625" style="60" customWidth="1"/>
    <col min="7674" max="7692" width="10.109375" style="60" customWidth="1"/>
    <col min="7693" max="7927" width="9.109375" style="60"/>
    <col min="7928" max="7928" width="1.6640625" style="60" customWidth="1"/>
    <col min="7929" max="7929" width="20.6640625" style="60" customWidth="1"/>
    <col min="7930" max="7948" width="10.109375" style="60" customWidth="1"/>
    <col min="7949" max="8183" width="9.109375" style="60"/>
    <col min="8184" max="8184" width="1.6640625" style="60" customWidth="1"/>
    <col min="8185" max="8185" width="20.6640625" style="60" customWidth="1"/>
    <col min="8186" max="8204" width="10.109375" style="60" customWidth="1"/>
    <col min="8205" max="8439" width="9.109375" style="60"/>
    <col min="8440" max="8440" width="1.6640625" style="60" customWidth="1"/>
    <col min="8441" max="8441" width="20.6640625" style="60" customWidth="1"/>
    <col min="8442" max="8460" width="10.109375" style="60" customWidth="1"/>
    <col min="8461" max="8695" width="9.109375" style="60"/>
    <col min="8696" max="8696" width="1.6640625" style="60" customWidth="1"/>
    <col min="8697" max="8697" width="20.6640625" style="60" customWidth="1"/>
    <col min="8698" max="8716" width="10.109375" style="60" customWidth="1"/>
    <col min="8717" max="8951" width="9.109375" style="60"/>
    <col min="8952" max="8952" width="1.6640625" style="60" customWidth="1"/>
    <col min="8953" max="8953" width="20.6640625" style="60" customWidth="1"/>
    <col min="8954" max="8972" width="10.109375" style="60" customWidth="1"/>
    <col min="8973" max="9207" width="9.109375" style="60"/>
    <col min="9208" max="9208" width="1.6640625" style="60" customWidth="1"/>
    <col min="9209" max="9209" width="20.6640625" style="60" customWidth="1"/>
    <col min="9210" max="9228" width="10.109375" style="60" customWidth="1"/>
    <col min="9229" max="9463" width="9.109375" style="60"/>
    <col min="9464" max="9464" width="1.6640625" style="60" customWidth="1"/>
    <col min="9465" max="9465" width="20.6640625" style="60" customWidth="1"/>
    <col min="9466" max="9484" width="10.109375" style="60" customWidth="1"/>
    <col min="9485" max="9719" width="9.109375" style="60"/>
    <col min="9720" max="9720" width="1.6640625" style="60" customWidth="1"/>
    <col min="9721" max="9721" width="20.6640625" style="60" customWidth="1"/>
    <col min="9722" max="9740" width="10.109375" style="60" customWidth="1"/>
    <col min="9741" max="9975" width="9.109375" style="60"/>
    <col min="9976" max="9976" width="1.6640625" style="60" customWidth="1"/>
    <col min="9977" max="9977" width="20.6640625" style="60" customWidth="1"/>
    <col min="9978" max="9996" width="10.109375" style="60" customWidth="1"/>
    <col min="9997" max="10231" width="9.109375" style="60"/>
    <col min="10232" max="10232" width="1.6640625" style="60" customWidth="1"/>
    <col min="10233" max="10233" width="20.6640625" style="60" customWidth="1"/>
    <col min="10234" max="10252" width="10.109375" style="60" customWidth="1"/>
    <col min="10253" max="10487" width="9.109375" style="60"/>
    <col min="10488" max="10488" width="1.6640625" style="60" customWidth="1"/>
    <col min="10489" max="10489" width="20.6640625" style="60" customWidth="1"/>
    <col min="10490" max="10508" width="10.109375" style="60" customWidth="1"/>
    <col min="10509" max="10743" width="9.109375" style="60"/>
    <col min="10744" max="10744" width="1.6640625" style="60" customWidth="1"/>
    <col min="10745" max="10745" width="20.6640625" style="60" customWidth="1"/>
    <col min="10746" max="10764" width="10.109375" style="60" customWidth="1"/>
    <col min="10765" max="10999" width="9.109375" style="60"/>
    <col min="11000" max="11000" width="1.6640625" style="60" customWidth="1"/>
    <col min="11001" max="11001" width="20.6640625" style="60" customWidth="1"/>
    <col min="11002" max="11020" width="10.109375" style="60" customWidth="1"/>
    <col min="11021" max="11255" width="9.109375" style="60"/>
    <col min="11256" max="11256" width="1.6640625" style="60" customWidth="1"/>
    <col min="11257" max="11257" width="20.6640625" style="60" customWidth="1"/>
    <col min="11258" max="11276" width="10.109375" style="60" customWidth="1"/>
    <col min="11277" max="11511" width="9.109375" style="60"/>
    <col min="11512" max="11512" width="1.6640625" style="60" customWidth="1"/>
    <col min="11513" max="11513" width="20.6640625" style="60" customWidth="1"/>
    <col min="11514" max="11532" width="10.109375" style="60" customWidth="1"/>
    <col min="11533" max="11767" width="9.109375" style="60"/>
    <col min="11768" max="11768" width="1.6640625" style="60" customWidth="1"/>
    <col min="11769" max="11769" width="20.6640625" style="60" customWidth="1"/>
    <col min="11770" max="11788" width="10.109375" style="60" customWidth="1"/>
    <col min="11789" max="12023" width="9.109375" style="60"/>
    <col min="12024" max="12024" width="1.6640625" style="60" customWidth="1"/>
    <col min="12025" max="12025" width="20.6640625" style="60" customWidth="1"/>
    <col min="12026" max="12044" width="10.109375" style="60" customWidth="1"/>
    <col min="12045" max="12279" width="9.109375" style="60"/>
    <col min="12280" max="12280" width="1.6640625" style="60" customWidth="1"/>
    <col min="12281" max="12281" width="20.6640625" style="60" customWidth="1"/>
    <col min="12282" max="12300" width="10.109375" style="60" customWidth="1"/>
    <col min="12301" max="12535" width="9.109375" style="60"/>
    <col min="12536" max="12536" width="1.6640625" style="60" customWidth="1"/>
    <col min="12537" max="12537" width="20.6640625" style="60" customWidth="1"/>
    <col min="12538" max="12556" width="10.109375" style="60" customWidth="1"/>
    <col min="12557" max="12791" width="9.109375" style="60"/>
    <col min="12792" max="12792" width="1.6640625" style="60" customWidth="1"/>
    <col min="12793" max="12793" width="20.6640625" style="60" customWidth="1"/>
    <col min="12794" max="12812" width="10.109375" style="60" customWidth="1"/>
    <col min="12813" max="13047" width="9.109375" style="60"/>
    <col min="13048" max="13048" width="1.6640625" style="60" customWidth="1"/>
    <col min="13049" max="13049" width="20.6640625" style="60" customWidth="1"/>
    <col min="13050" max="13068" width="10.109375" style="60" customWidth="1"/>
    <col min="13069" max="13303" width="9.109375" style="60"/>
    <col min="13304" max="13304" width="1.6640625" style="60" customWidth="1"/>
    <col min="13305" max="13305" width="20.6640625" style="60" customWidth="1"/>
    <col min="13306" max="13324" width="10.109375" style="60" customWidth="1"/>
    <col min="13325" max="13559" width="9.109375" style="60"/>
    <col min="13560" max="13560" width="1.6640625" style="60" customWidth="1"/>
    <col min="13561" max="13561" width="20.6640625" style="60" customWidth="1"/>
    <col min="13562" max="13580" width="10.109375" style="60" customWidth="1"/>
    <col min="13581" max="13815" width="9.109375" style="60"/>
    <col min="13816" max="13816" width="1.6640625" style="60" customWidth="1"/>
    <col min="13817" max="13817" width="20.6640625" style="60" customWidth="1"/>
    <col min="13818" max="13836" width="10.109375" style="60" customWidth="1"/>
    <col min="13837" max="14071" width="9.109375" style="60"/>
    <col min="14072" max="14072" width="1.6640625" style="60" customWidth="1"/>
    <col min="14073" max="14073" width="20.6640625" style="60" customWidth="1"/>
    <col min="14074" max="14092" width="10.109375" style="60" customWidth="1"/>
    <col min="14093" max="14327" width="9.109375" style="60"/>
    <col min="14328" max="14328" width="1.6640625" style="60" customWidth="1"/>
    <col min="14329" max="14329" width="20.6640625" style="60" customWidth="1"/>
    <col min="14330" max="14348" width="10.109375" style="60" customWidth="1"/>
    <col min="14349" max="14583" width="9.109375" style="60"/>
    <col min="14584" max="14584" width="1.6640625" style="60" customWidth="1"/>
    <col min="14585" max="14585" width="20.6640625" style="60" customWidth="1"/>
    <col min="14586" max="14604" width="10.109375" style="60" customWidth="1"/>
    <col min="14605" max="14839" width="9.109375" style="60"/>
    <col min="14840" max="14840" width="1.6640625" style="60" customWidth="1"/>
    <col min="14841" max="14841" width="20.6640625" style="60" customWidth="1"/>
    <col min="14842" max="14860" width="10.109375" style="60" customWidth="1"/>
    <col min="14861" max="15095" width="9.109375" style="60"/>
    <col min="15096" max="15096" width="1.6640625" style="60" customWidth="1"/>
    <col min="15097" max="15097" width="20.6640625" style="60" customWidth="1"/>
    <col min="15098" max="15116" width="10.109375" style="60" customWidth="1"/>
    <col min="15117" max="15351" width="9.109375" style="60"/>
    <col min="15352" max="15352" width="1.6640625" style="60" customWidth="1"/>
    <col min="15353" max="15353" width="20.6640625" style="60" customWidth="1"/>
    <col min="15354" max="15372" width="10.109375" style="60" customWidth="1"/>
    <col min="15373" max="15607" width="9.109375" style="60"/>
    <col min="15608" max="15608" width="1.6640625" style="60" customWidth="1"/>
    <col min="15609" max="15609" width="20.6640625" style="60" customWidth="1"/>
    <col min="15610" max="15628" width="10.109375" style="60" customWidth="1"/>
    <col min="15629" max="15863" width="9.109375" style="60"/>
    <col min="15864" max="15864" width="1.6640625" style="60" customWidth="1"/>
    <col min="15865" max="15865" width="20.6640625" style="60" customWidth="1"/>
    <col min="15866" max="15884" width="10.109375" style="60" customWidth="1"/>
    <col min="15885" max="16119" width="9.109375" style="60"/>
    <col min="16120" max="16120" width="1.6640625" style="60" customWidth="1"/>
    <col min="16121" max="16121" width="20.6640625" style="60" customWidth="1"/>
    <col min="16122" max="16140" width="10.109375" style="60" customWidth="1"/>
    <col min="16141" max="16384" width="9.109375" style="60"/>
  </cols>
  <sheetData>
    <row r="2" spans="2:10">
      <c r="B2" s="446" t="s">
        <v>215</v>
      </c>
      <c r="C2" s="65"/>
      <c r="D2" s="65"/>
    </row>
    <row r="3" spans="2:10">
      <c r="B3" s="292" t="s">
        <v>216</v>
      </c>
      <c r="D3" s="65"/>
    </row>
    <row r="4" spans="2:10">
      <c r="D4" s="65"/>
    </row>
    <row r="5" spans="2:10" hidden="1" outlineLevel="1">
      <c r="B5" s="60" t="e">
        <f>Inputs!#REF!</f>
        <v>#REF!</v>
      </c>
      <c r="D5" s="140" t="e">
        <f>Inputs!#REF!</f>
        <v>#REF!</v>
      </c>
      <c r="E5" s="140" t="e">
        <f>Inputs!#REF!</f>
        <v>#REF!</v>
      </c>
      <c r="F5" s="140" t="e">
        <f>Inputs!#REF!</f>
        <v>#REF!</v>
      </c>
      <c r="G5" s="140" t="e">
        <f>Inputs!#REF!</f>
        <v>#REF!</v>
      </c>
      <c r="H5" s="140" t="e">
        <f>Inputs!#REF!</f>
        <v>#REF!</v>
      </c>
      <c r="I5" s="140" t="e">
        <f>Inputs!#REF!</f>
        <v>#REF!</v>
      </c>
    </row>
    <row r="6" spans="2:10" collapsed="1">
      <c r="B6" s="279" t="s">
        <v>217</v>
      </c>
      <c r="C6" s="112"/>
      <c r="D6" s="112"/>
      <c r="E6" s="582" t="s">
        <v>218</v>
      </c>
      <c r="F6" s="582"/>
      <c r="G6" s="143"/>
      <c r="H6" s="143"/>
      <c r="I6" s="143"/>
      <c r="J6" s="141"/>
    </row>
    <row r="7" spans="2:10">
      <c r="B7" s="143"/>
      <c r="C7" s="143"/>
      <c r="D7" s="113" t="s">
        <v>219</v>
      </c>
      <c r="E7" s="113" t="s">
        <v>160</v>
      </c>
      <c r="F7" s="113" t="s">
        <v>220</v>
      </c>
      <c r="G7" s="141" t="s">
        <v>21</v>
      </c>
      <c r="H7" s="141" t="s">
        <v>221</v>
      </c>
      <c r="I7" s="141" t="s">
        <v>222</v>
      </c>
      <c r="J7" s="141" t="s">
        <v>223</v>
      </c>
    </row>
    <row r="8" spans="2:10">
      <c r="B8" s="114" t="s">
        <v>224</v>
      </c>
      <c r="C8" s="114" t="s">
        <v>164</v>
      </c>
      <c r="D8" s="487" t="s">
        <v>225</v>
      </c>
      <c r="E8" s="487" t="s">
        <v>170</v>
      </c>
      <c r="F8" s="487" t="s">
        <v>170</v>
      </c>
      <c r="G8" s="487" t="str">
        <f>LTM</f>
        <v>LTM</v>
      </c>
      <c r="H8" s="144" t="str">
        <f>LTM</f>
        <v>LTM</v>
      </c>
      <c r="I8" s="144" t="str">
        <f>LTM</f>
        <v>LTM</v>
      </c>
      <c r="J8" s="144" t="str">
        <f>LTM</f>
        <v>LTM</v>
      </c>
    </row>
    <row r="9" spans="2:10" ht="16.5" customHeight="1">
      <c r="B9" s="447" t="s">
        <v>226</v>
      </c>
      <c r="C9" s="442" t="s">
        <v>227</v>
      </c>
      <c r="D9" s="443">
        <v>317.77</v>
      </c>
      <c r="E9" s="444">
        <v>37260</v>
      </c>
      <c r="F9" s="444">
        <v>39450</v>
      </c>
      <c r="G9" s="444">
        <v>4289</v>
      </c>
      <c r="H9" s="444">
        <v>1152</v>
      </c>
      <c r="I9" s="444">
        <v>642</v>
      </c>
      <c r="J9" s="445">
        <f>H9/G9</f>
        <v>0.26859407787363021</v>
      </c>
    </row>
    <row r="10" spans="2:10" ht="16.5" customHeight="1">
      <c r="B10" s="447" t="s">
        <v>228</v>
      </c>
      <c r="C10" s="442" t="s">
        <v>229</v>
      </c>
      <c r="D10" s="443">
        <v>526.82000000000005</v>
      </c>
      <c r="E10" s="444">
        <v>24240</v>
      </c>
      <c r="F10" s="444">
        <v>26240</v>
      </c>
      <c r="G10" s="444">
        <v>6005</v>
      </c>
      <c r="H10" s="444">
        <v>1393</v>
      </c>
      <c r="I10" s="444">
        <v>818</v>
      </c>
      <c r="J10" s="445">
        <v>0.23</v>
      </c>
    </row>
    <row r="11" spans="2:10" ht="16.5" customHeight="1">
      <c r="B11" s="447" t="s">
        <v>230</v>
      </c>
      <c r="C11" s="442" t="s">
        <v>231</v>
      </c>
      <c r="D11" s="443">
        <v>595.73</v>
      </c>
      <c r="E11" s="444">
        <v>20470</v>
      </c>
      <c r="F11" s="444">
        <v>21370</v>
      </c>
      <c r="G11" s="444">
        <v>3376</v>
      </c>
      <c r="H11" s="444">
        <v>759</v>
      </c>
      <c r="I11" s="444">
        <v>465</v>
      </c>
      <c r="J11" s="445">
        <v>0.22</v>
      </c>
    </row>
    <row r="12" spans="2:10" ht="16.5" customHeight="1">
      <c r="B12" s="447" t="s">
        <v>232</v>
      </c>
      <c r="C12" s="442" t="s">
        <v>233</v>
      </c>
      <c r="D12" s="443">
        <v>80.81</v>
      </c>
      <c r="E12" s="444">
        <v>15000</v>
      </c>
      <c r="F12" s="444">
        <v>17210</v>
      </c>
      <c r="G12" s="444">
        <v>14237</v>
      </c>
      <c r="H12" s="444">
        <v>1497</v>
      </c>
      <c r="I12" s="444">
        <v>827</v>
      </c>
      <c r="J12" s="445">
        <v>0.11</v>
      </c>
    </row>
    <row r="13" spans="2:10" ht="16.5" customHeight="1">
      <c r="B13" s="447" t="s">
        <v>234</v>
      </c>
      <c r="C13" s="442" t="s">
        <v>235</v>
      </c>
      <c r="D13" s="443">
        <v>90.6</v>
      </c>
      <c r="E13" s="444">
        <v>12990</v>
      </c>
      <c r="F13" s="444">
        <v>12550</v>
      </c>
      <c r="G13" s="444">
        <v>1285</v>
      </c>
      <c r="H13" s="444">
        <v>89</v>
      </c>
      <c r="I13" s="444">
        <v>20</v>
      </c>
      <c r="J13" s="445">
        <v>7.0000000000000007E-2</v>
      </c>
    </row>
    <row r="14" spans="2:10" ht="16.5" customHeight="1">
      <c r="B14" s="447" t="s">
        <v>236</v>
      </c>
      <c r="C14" s="442" t="s">
        <v>237</v>
      </c>
      <c r="D14" s="443">
        <v>322.02</v>
      </c>
      <c r="E14" s="444">
        <v>12680</v>
      </c>
      <c r="F14" s="444">
        <v>15290</v>
      </c>
      <c r="G14" s="444">
        <v>12012</v>
      </c>
      <c r="H14" s="444">
        <v>1142</v>
      </c>
      <c r="I14" s="444">
        <v>569</v>
      </c>
      <c r="J14" s="445">
        <v>0.1</v>
      </c>
    </row>
    <row r="15" spans="2:10" ht="16.5" customHeight="1">
      <c r="B15" s="447" t="s">
        <v>238</v>
      </c>
      <c r="C15" s="442" t="s">
        <v>239</v>
      </c>
      <c r="D15" s="443">
        <v>71.400000000000006</v>
      </c>
      <c r="E15" s="444">
        <v>6080</v>
      </c>
      <c r="F15" s="444">
        <v>6750</v>
      </c>
      <c r="G15" s="444">
        <v>1876</v>
      </c>
      <c r="H15" s="444">
        <v>242</v>
      </c>
      <c r="I15" s="444">
        <v>69</v>
      </c>
      <c r="J15" s="445">
        <v>0.13</v>
      </c>
    </row>
    <row r="16" spans="2:10" ht="16.5" customHeight="1">
      <c r="B16" s="447" t="s">
        <v>240</v>
      </c>
      <c r="C16" s="442" t="s">
        <v>241</v>
      </c>
      <c r="D16" s="443">
        <v>36.69</v>
      </c>
      <c r="E16" s="444">
        <v>4640</v>
      </c>
      <c r="F16" s="444">
        <v>9830</v>
      </c>
      <c r="G16" s="444">
        <v>6394</v>
      </c>
      <c r="H16" s="444">
        <v>-2599</v>
      </c>
      <c r="I16" s="444">
        <v>-1932</v>
      </c>
      <c r="J16" s="445">
        <v>-0.41</v>
      </c>
    </row>
    <row r="17" spans="2:10" ht="16.5" customHeight="1">
      <c r="B17" s="447" t="s">
        <v>242</v>
      </c>
      <c r="C17" s="442" t="s">
        <v>243</v>
      </c>
      <c r="D17" s="443">
        <v>84.21</v>
      </c>
      <c r="E17" s="444">
        <v>3250</v>
      </c>
      <c r="F17" s="444">
        <v>4270</v>
      </c>
      <c r="G17" s="444">
        <v>2858</v>
      </c>
      <c r="H17" s="444">
        <v>192</v>
      </c>
      <c r="I17" s="444">
        <v>29</v>
      </c>
      <c r="J17" s="445">
        <v>7.0000000000000007E-2</v>
      </c>
    </row>
    <row r="18" spans="2:10" ht="16.5" customHeight="1">
      <c r="B18" s="447" t="s">
        <v>244</v>
      </c>
      <c r="C18" s="442" t="s">
        <v>245</v>
      </c>
      <c r="D18" s="443">
        <v>49.18</v>
      </c>
      <c r="E18" s="444">
        <v>1840</v>
      </c>
      <c r="F18" s="444">
        <v>2200</v>
      </c>
      <c r="G18" s="444">
        <v>831</v>
      </c>
      <c r="H18" s="444">
        <v>72</v>
      </c>
      <c r="I18" s="444">
        <v>-3</v>
      </c>
      <c r="J18" s="445">
        <v>0.09</v>
      </c>
    </row>
    <row r="19" spans="2:10">
      <c r="E19" s="398"/>
      <c r="F19" s="398"/>
      <c r="G19" s="398"/>
      <c r="H19" s="398"/>
      <c r="I19" s="398"/>
      <c r="J19" s="148"/>
    </row>
    <row r="20" spans="2:10">
      <c r="B20" s="392" t="s">
        <v>198</v>
      </c>
      <c r="C20" s="393"/>
      <c r="D20" s="437">
        <f t="shared" ref="D20:I20" si="0">MAX(D9:D18)</f>
        <v>595.73</v>
      </c>
      <c r="E20" s="399">
        <f t="shared" si="0"/>
        <v>37260</v>
      </c>
      <c r="F20" s="400">
        <f t="shared" si="0"/>
        <v>39450</v>
      </c>
      <c r="G20" s="400">
        <f t="shared" si="0"/>
        <v>14237</v>
      </c>
      <c r="H20" s="400">
        <f t="shared" si="0"/>
        <v>1497</v>
      </c>
      <c r="I20" s="399">
        <f t="shared" si="0"/>
        <v>827</v>
      </c>
      <c r="J20" s="460">
        <f t="shared" ref="J20" si="1">MAX(J9:J18)</f>
        <v>0.26859407787363021</v>
      </c>
    </row>
    <row r="21" spans="2:10">
      <c r="B21" s="394" t="s">
        <v>246</v>
      </c>
      <c r="D21" s="438">
        <f t="shared" ref="D21:I21" si="2">_xlfn.PERCENTILE.INC(D9:D18,0.75)</f>
        <v>320.95749999999998</v>
      </c>
      <c r="E21" s="401">
        <f t="shared" si="2"/>
        <v>19102.5</v>
      </c>
      <c r="F21" s="401">
        <f t="shared" si="2"/>
        <v>20330</v>
      </c>
      <c r="G21" s="401">
        <f t="shared" si="2"/>
        <v>6296.75</v>
      </c>
      <c r="H21" s="401">
        <f t="shared" si="2"/>
        <v>1149.5</v>
      </c>
      <c r="I21" s="401">
        <f t="shared" si="2"/>
        <v>623.75</v>
      </c>
      <c r="J21" s="461">
        <f t="shared" ref="J21" si="3">_xlfn.PERCENTILE.INC(J9:J18,0.75)</f>
        <v>0.19750000000000001</v>
      </c>
    </row>
    <row r="22" spans="2:10">
      <c r="B22" s="390" t="s">
        <v>186</v>
      </c>
      <c r="C22" s="391"/>
      <c r="D22" s="439">
        <f t="shared" ref="D22:I22" si="4">MEDIAN(D9:D18)</f>
        <v>87.405000000000001</v>
      </c>
      <c r="E22" s="402">
        <f t="shared" si="4"/>
        <v>12835</v>
      </c>
      <c r="F22" s="402">
        <f t="shared" si="4"/>
        <v>13920</v>
      </c>
      <c r="G22" s="402">
        <f t="shared" si="4"/>
        <v>3832.5</v>
      </c>
      <c r="H22" s="402">
        <f t="shared" si="4"/>
        <v>500.5</v>
      </c>
      <c r="I22" s="403">
        <f t="shared" si="4"/>
        <v>267</v>
      </c>
      <c r="J22" s="462">
        <f t="shared" ref="J22" si="5">MEDIAN(J9:J18)</f>
        <v>0.10500000000000001</v>
      </c>
    </row>
    <row r="23" spans="2:10">
      <c r="B23" s="394" t="s">
        <v>247</v>
      </c>
      <c r="C23" s="65"/>
      <c r="D23" s="440">
        <f t="shared" ref="D23:I23" si="6">_xlfn.PERCENTILE.INC(D9:D18,0.25)</f>
        <v>73.752499999999998</v>
      </c>
      <c r="E23" s="398">
        <f t="shared" si="6"/>
        <v>5000</v>
      </c>
      <c r="F23" s="398">
        <f t="shared" si="6"/>
        <v>7520</v>
      </c>
      <c r="G23" s="398">
        <f t="shared" si="6"/>
        <v>2121.5</v>
      </c>
      <c r="H23" s="398">
        <f t="shared" si="6"/>
        <v>114.75</v>
      </c>
      <c r="I23" s="401">
        <f t="shared" si="6"/>
        <v>22.25</v>
      </c>
      <c r="J23" s="461">
        <f t="shared" ref="J23" si="7">_xlfn.PERCENTILE.INC(J9:J18,0.25)</f>
        <v>7.5000000000000011E-2</v>
      </c>
    </row>
    <row r="24" spans="2:10">
      <c r="B24" s="395" t="s">
        <v>200</v>
      </c>
      <c r="C24" s="396"/>
      <c r="D24" s="441">
        <f t="shared" ref="D24:I24" si="8">MIN(D9:D18)</f>
        <v>36.69</v>
      </c>
      <c r="E24" s="404">
        <f t="shared" si="8"/>
        <v>1840</v>
      </c>
      <c r="F24" s="404">
        <f t="shared" si="8"/>
        <v>2200</v>
      </c>
      <c r="G24" s="404">
        <f t="shared" si="8"/>
        <v>831</v>
      </c>
      <c r="H24" s="404">
        <f t="shared" si="8"/>
        <v>-2599</v>
      </c>
      <c r="I24" s="405">
        <f t="shared" si="8"/>
        <v>-1932</v>
      </c>
      <c r="J24" s="463">
        <f t="shared" ref="J24" si="9">MIN(J9:J18)</f>
        <v>-0.41</v>
      </c>
    </row>
    <row r="25" spans="2:10">
      <c r="E25" s="397"/>
      <c r="F25" s="397"/>
      <c r="G25" s="397"/>
      <c r="H25" s="397"/>
      <c r="I25" s="397"/>
    </row>
    <row r="26" spans="2:10">
      <c r="B26" s="119" t="str">
        <f>Company_Name</f>
        <v xml:space="preserve">AeroVironment, Inc. </v>
      </c>
      <c r="C26" s="120" t="str">
        <f>Ticker</f>
        <v>AVAV</v>
      </c>
      <c r="D26" s="146">
        <v>369.91</v>
      </c>
      <c r="E26" s="436">
        <v>18470</v>
      </c>
      <c r="F26" s="436">
        <v>18610</v>
      </c>
      <c r="G26" s="250">
        <f>('AVAV-DCF'!I134+927184-377941)/Units</f>
        <v>2212.5549999999998</v>
      </c>
      <c r="H26" s="250">
        <f>('AVAV-DCF'!I139-'AVAV-DCF'!I143-'AVAV-DCF'!I144+101513-63050)/Units</f>
        <v>261.298</v>
      </c>
      <c r="I26" s="250">
        <f>(43619-84473-28709)/Units</f>
        <v>-69.563000000000002</v>
      </c>
      <c r="J26" s="147">
        <f>H26/G26</f>
        <v>0.11809785519456015</v>
      </c>
    </row>
    <row r="28" spans="2:10" hidden="1" outlineLevel="1">
      <c r="B28" s="140" t="e">
        <f>Inputs!#REF!</f>
        <v>#REF!</v>
      </c>
      <c r="D28" s="140" t="e">
        <f>Inputs!#REF!</f>
        <v>#REF!</v>
      </c>
      <c r="E28" s="140" t="e">
        <f>Inputs!#REF!</f>
        <v>#REF!</v>
      </c>
      <c r="F28" s="140" t="e">
        <f>Inputs!#REF!</f>
        <v>#REF!</v>
      </c>
      <c r="G28" s="140" t="e">
        <f>Inputs!#REF!</f>
        <v>#REF!</v>
      </c>
      <c r="H28" s="140" t="e">
        <f>Inputs!#REF!</f>
        <v>#REF!</v>
      </c>
      <c r="I28" s="140" t="e">
        <f>Inputs!#REF!</f>
        <v>#REF!</v>
      </c>
    </row>
    <row r="29" spans="2:10" collapsed="1">
      <c r="B29" s="112" t="s">
        <v>248</v>
      </c>
      <c r="C29" s="112"/>
      <c r="D29" s="112"/>
      <c r="E29" s="582" t="s">
        <v>218</v>
      </c>
      <c r="F29" s="582"/>
      <c r="G29" s="581" t="s">
        <v>249</v>
      </c>
      <c r="H29" s="581" t="s">
        <v>249</v>
      </c>
      <c r="I29" s="581" t="s">
        <v>250</v>
      </c>
    </row>
    <row r="30" spans="2:10">
      <c r="B30" s="143"/>
      <c r="C30" s="143"/>
      <c r="D30" s="113" t="s">
        <v>219</v>
      </c>
      <c r="E30" s="113" t="s">
        <v>160</v>
      </c>
      <c r="F30" s="113" t="s">
        <v>220</v>
      </c>
      <c r="G30" s="581"/>
      <c r="H30" s="581"/>
      <c r="I30" s="581"/>
      <c r="J30" s="148"/>
    </row>
    <row r="31" spans="2:10">
      <c r="B31" s="114" t="s">
        <v>224</v>
      </c>
      <c r="C31" s="114"/>
      <c r="D31" s="487" t="s">
        <v>225</v>
      </c>
      <c r="E31" s="487" t="s">
        <v>170</v>
      </c>
      <c r="F31" s="487" t="s">
        <v>170</v>
      </c>
      <c r="G31" s="487" t="str">
        <f>LTM</f>
        <v>LTM</v>
      </c>
      <c r="H31" s="144" t="str">
        <f>LTM</f>
        <v>LTM</v>
      </c>
      <c r="I31" s="144" t="str">
        <f>LTM</f>
        <v>LTM</v>
      </c>
      <c r="J31" s="149"/>
    </row>
    <row r="32" spans="2:10">
      <c r="B32" s="447" t="str">
        <f>B9</f>
        <v>Heico Corporation</v>
      </c>
      <c r="D32" s="443">
        <f>D9</f>
        <v>317.77</v>
      </c>
      <c r="E32" s="227">
        <f>E9</f>
        <v>37260</v>
      </c>
      <c r="F32" s="227">
        <f>F9</f>
        <v>39450</v>
      </c>
      <c r="G32" s="150">
        <f t="shared" ref="G32:G41" si="10">F9/G9</f>
        <v>9.1979482396829102</v>
      </c>
      <c r="H32" s="150">
        <f t="shared" ref="H32:H41" si="11">F9/H9</f>
        <v>34.244791666666664</v>
      </c>
      <c r="I32" s="150">
        <f t="shared" ref="I32:I41" si="12">F9/I9</f>
        <v>61.44859813084112</v>
      </c>
    </row>
    <row r="33" spans="2:9">
      <c r="B33" s="447" t="str">
        <f t="shared" ref="B33:B41" si="13">B10</f>
        <v>Teledyne Technologies Inc.</v>
      </c>
      <c r="D33" s="443">
        <f t="shared" ref="D33:D41" si="14">D10</f>
        <v>526.82000000000005</v>
      </c>
      <c r="E33" s="389">
        <f t="shared" ref="E33:F41" si="15">E10</f>
        <v>24240</v>
      </c>
      <c r="F33" s="389">
        <f t="shared" si="15"/>
        <v>26240</v>
      </c>
      <c r="G33" s="150">
        <f t="shared" si="10"/>
        <v>4.3696919233971689</v>
      </c>
      <c r="H33" s="150">
        <f t="shared" si="11"/>
        <v>18.837042354630295</v>
      </c>
      <c r="I33" s="150">
        <f t="shared" si="12"/>
        <v>32.078239608801958</v>
      </c>
    </row>
    <row r="34" spans="2:9">
      <c r="B34" s="447" t="str">
        <f t="shared" si="13"/>
        <v>Curtiss-Wright Corporation</v>
      </c>
      <c r="D34" s="443">
        <f t="shared" si="14"/>
        <v>595.73</v>
      </c>
      <c r="E34" s="389">
        <f t="shared" si="15"/>
        <v>20470</v>
      </c>
      <c r="F34" s="389">
        <f t="shared" si="15"/>
        <v>21370</v>
      </c>
      <c r="G34" s="150">
        <f t="shared" si="10"/>
        <v>6.3299763033175358</v>
      </c>
      <c r="H34" s="150">
        <f t="shared" si="11"/>
        <v>28.155467720685113</v>
      </c>
      <c r="I34" s="150">
        <f t="shared" si="12"/>
        <v>45.956989247311824</v>
      </c>
    </row>
    <row r="35" spans="2:9">
      <c r="B35" s="447" t="str">
        <f t="shared" si="13"/>
        <v>Textron Inc.</v>
      </c>
      <c r="D35" s="443">
        <f t="shared" si="14"/>
        <v>80.81</v>
      </c>
      <c r="E35" s="389">
        <f t="shared" si="15"/>
        <v>15000</v>
      </c>
      <c r="F35" s="389">
        <f t="shared" si="15"/>
        <v>17210</v>
      </c>
      <c r="G35" s="150">
        <f t="shared" si="10"/>
        <v>1.2088220833040668</v>
      </c>
      <c r="H35" s="150">
        <f t="shared" si="11"/>
        <v>11.49632598530394</v>
      </c>
      <c r="I35" s="150">
        <f t="shared" si="12"/>
        <v>20.810157194679565</v>
      </c>
    </row>
    <row r="36" spans="2:9">
      <c r="B36" s="447" t="str">
        <f t="shared" si="13"/>
        <v>Kratos Defense &amp; Security Solutions, Inc.</v>
      </c>
      <c r="D36" s="443">
        <f t="shared" si="14"/>
        <v>90.6</v>
      </c>
      <c r="E36" s="389">
        <f t="shared" si="15"/>
        <v>12990</v>
      </c>
      <c r="F36" s="389">
        <f t="shared" si="15"/>
        <v>12550</v>
      </c>
      <c r="G36" s="150">
        <f t="shared" si="10"/>
        <v>9.7665369649805456</v>
      </c>
      <c r="H36" s="150">
        <f t="shared" si="11"/>
        <v>141.01123595505618</v>
      </c>
      <c r="I36" s="150">
        <f t="shared" si="12"/>
        <v>627.5</v>
      </c>
    </row>
    <row r="37" spans="2:9">
      <c r="B37" s="447" t="str">
        <f t="shared" si="13"/>
        <v>Huntington Ingalls Industries, Inc.</v>
      </c>
      <c r="D37" s="443">
        <f t="shared" si="14"/>
        <v>322.02</v>
      </c>
      <c r="E37" s="389">
        <f t="shared" si="15"/>
        <v>12680</v>
      </c>
      <c r="F37" s="389">
        <f t="shared" si="15"/>
        <v>15290</v>
      </c>
      <c r="G37" s="150">
        <f t="shared" si="10"/>
        <v>1.2728937728937728</v>
      </c>
      <c r="H37" s="150">
        <f t="shared" si="11"/>
        <v>13.388791593695272</v>
      </c>
      <c r="I37" s="150">
        <f t="shared" si="12"/>
        <v>26.871704745166959</v>
      </c>
    </row>
    <row r="38" spans="2:9">
      <c r="B38" s="447" t="str">
        <f t="shared" si="13"/>
        <v>Hexcel Corporation</v>
      </c>
      <c r="D38" s="443">
        <f t="shared" si="14"/>
        <v>71.400000000000006</v>
      </c>
      <c r="E38" s="389">
        <f t="shared" si="15"/>
        <v>6080</v>
      </c>
      <c r="F38" s="389">
        <f t="shared" si="15"/>
        <v>6750</v>
      </c>
      <c r="G38" s="150">
        <f t="shared" si="10"/>
        <v>3.5980810234541578</v>
      </c>
      <c r="H38" s="150">
        <f t="shared" si="11"/>
        <v>27.892561983471076</v>
      </c>
      <c r="I38" s="150">
        <f t="shared" si="12"/>
        <v>97.826086956521735</v>
      </c>
    </row>
    <row r="39" spans="2:9">
      <c r="B39" s="447" t="str">
        <f t="shared" si="13"/>
        <v>Spirit Aerosystems Holdigns, Inc.</v>
      </c>
      <c r="D39" s="443">
        <f t="shared" si="14"/>
        <v>36.69</v>
      </c>
      <c r="E39" s="389">
        <f t="shared" si="15"/>
        <v>4640</v>
      </c>
      <c r="F39" s="389">
        <f t="shared" si="15"/>
        <v>9830</v>
      </c>
      <c r="G39" s="150">
        <f t="shared" si="10"/>
        <v>1.5373787926180795</v>
      </c>
      <c r="H39" s="150">
        <f t="shared" si="11"/>
        <v>-3.7822239322816467</v>
      </c>
      <c r="I39" s="150">
        <f t="shared" si="12"/>
        <v>-5.0879917184265011</v>
      </c>
    </row>
    <row r="40" spans="2:9">
      <c r="B40" s="447" t="str">
        <f t="shared" si="13"/>
        <v>AAR Corporation</v>
      </c>
      <c r="D40" s="443">
        <f t="shared" si="14"/>
        <v>84.21</v>
      </c>
      <c r="E40" s="389">
        <f t="shared" si="15"/>
        <v>3250</v>
      </c>
      <c r="F40" s="389">
        <f t="shared" si="15"/>
        <v>4270</v>
      </c>
      <c r="G40" s="150">
        <f t="shared" si="10"/>
        <v>1.4940517844646606</v>
      </c>
      <c r="H40" s="150">
        <f t="shared" si="11"/>
        <v>22.239583333333332</v>
      </c>
      <c r="I40" s="150">
        <f t="shared" si="12"/>
        <v>147.24137931034483</v>
      </c>
    </row>
    <row r="41" spans="2:9">
      <c r="B41" s="447" t="str">
        <f t="shared" si="13"/>
        <v>Astronics Corporation</v>
      </c>
      <c r="D41" s="443">
        <f t="shared" si="14"/>
        <v>49.18</v>
      </c>
      <c r="E41" s="389">
        <f t="shared" si="15"/>
        <v>1840</v>
      </c>
      <c r="F41" s="389">
        <f t="shared" si="15"/>
        <v>2200</v>
      </c>
      <c r="G41" s="13">
        <f t="shared" si="10"/>
        <v>2.647412755716005</v>
      </c>
      <c r="H41" s="150">
        <f t="shared" si="11"/>
        <v>30.555555555555557</v>
      </c>
      <c r="I41" s="150">
        <f t="shared" si="12"/>
        <v>-733.33333333333337</v>
      </c>
    </row>
    <row r="42" spans="2:9">
      <c r="G42" s="13"/>
    </row>
    <row r="43" spans="2:9">
      <c r="B43" s="392" t="s">
        <v>198</v>
      </c>
      <c r="C43" s="393"/>
      <c r="D43" s="437">
        <f>MAX(D9:D18)</f>
        <v>595.73</v>
      </c>
      <c r="E43" s="399">
        <f t="shared" ref="E43:I43" si="16">MAX(E32:E41)</f>
        <v>37260</v>
      </c>
      <c r="F43" s="399">
        <f t="shared" si="16"/>
        <v>39450</v>
      </c>
      <c r="G43" s="407">
        <f t="shared" si="16"/>
        <v>9.7665369649805456</v>
      </c>
      <c r="H43" s="407">
        <f t="shared" si="16"/>
        <v>141.01123595505618</v>
      </c>
      <c r="I43" s="411">
        <f t="shared" si="16"/>
        <v>627.5</v>
      </c>
    </row>
    <row r="44" spans="2:9">
      <c r="B44" s="394" t="s">
        <v>246</v>
      </c>
      <c r="D44" s="438">
        <f>_xlfn.PERCENTILE.INC(D9:D18,0.75)</f>
        <v>320.95749999999998</v>
      </c>
      <c r="E44" s="401">
        <f t="shared" ref="E44:I44" si="17">_xlfn.PERCENTILE.INC(E32:E41,0.75)</f>
        <v>19102.5</v>
      </c>
      <c r="F44" s="401">
        <f t="shared" si="17"/>
        <v>20330</v>
      </c>
      <c r="G44" s="13">
        <f t="shared" si="17"/>
        <v>5.8399052083374441</v>
      </c>
      <c r="H44" s="13">
        <f t="shared" si="17"/>
        <v>29.955533596837945</v>
      </c>
      <c r="I44" s="412">
        <f t="shared" si="17"/>
        <v>88.731714750101588</v>
      </c>
    </row>
    <row r="45" spans="2:9">
      <c r="B45" s="409" t="s">
        <v>186</v>
      </c>
      <c r="C45" s="391"/>
      <c r="D45" s="439">
        <f>MEDIAN(D9:D18)</f>
        <v>87.405000000000001</v>
      </c>
      <c r="E45" s="410">
        <f t="shared" ref="E45:I45" si="18">MEDIAN(E32:E41)</f>
        <v>12835</v>
      </c>
      <c r="F45" s="410">
        <f t="shared" si="18"/>
        <v>13920</v>
      </c>
      <c r="G45" s="406">
        <f t="shared" si="18"/>
        <v>3.1227468895850814</v>
      </c>
      <c r="H45" s="406">
        <f t="shared" si="18"/>
        <v>25.066072658402206</v>
      </c>
      <c r="I45" s="414">
        <f t="shared" si="18"/>
        <v>39.017614428056888</v>
      </c>
    </row>
    <row r="46" spans="2:9">
      <c r="B46" s="394" t="s">
        <v>247</v>
      </c>
      <c r="C46" s="65"/>
      <c r="D46" s="440">
        <f>_xlfn.PERCENTILE.INC(D9:D18,0.25)</f>
        <v>73.752499999999998</v>
      </c>
      <c r="E46" s="401">
        <f t="shared" ref="E46:I46" si="19">_xlfn.PERCENTILE.INC(E32:E41,0.25)</f>
        <v>5000</v>
      </c>
      <c r="F46" s="401">
        <f t="shared" si="19"/>
        <v>7520</v>
      </c>
      <c r="G46" s="13">
        <f t="shared" si="19"/>
        <v>1.5048835365030153</v>
      </c>
      <c r="H46" s="13">
        <f t="shared" si="19"/>
        <v>14.750854283929028</v>
      </c>
      <c r="I46" s="412">
        <f t="shared" si="19"/>
        <v>22.325544082301413</v>
      </c>
    </row>
    <row r="47" spans="2:9">
      <c r="B47" s="395" t="s">
        <v>200</v>
      </c>
      <c r="C47" s="396"/>
      <c r="D47" s="441">
        <f>MIN(D9:D18)</f>
        <v>36.69</v>
      </c>
      <c r="E47" s="405">
        <f t="shared" ref="E47:G47" si="20">MIN(E32:E41)</f>
        <v>1840</v>
      </c>
      <c r="F47" s="405">
        <f t="shared" si="20"/>
        <v>2200</v>
      </c>
      <c r="G47" s="408">
        <f t="shared" si="20"/>
        <v>1.2088220833040668</v>
      </c>
      <c r="H47" s="408">
        <f>MIN(H32:H41)</f>
        <v>-3.7822239322816467</v>
      </c>
      <c r="I47" s="413">
        <v>0</v>
      </c>
    </row>
    <row r="49" spans="2:9">
      <c r="B49" s="119" t="str">
        <f>Company_Name</f>
        <v xml:space="preserve">AeroVironment, Inc. </v>
      </c>
      <c r="C49" s="120" t="str">
        <f>Ticker</f>
        <v>AVAV</v>
      </c>
      <c r="D49" s="146">
        <v>369.91</v>
      </c>
      <c r="E49" s="250">
        <f>E26</f>
        <v>18470</v>
      </c>
      <c r="F49" s="250">
        <f>F26</f>
        <v>18610</v>
      </c>
      <c r="G49" s="151">
        <f>F26/G26</f>
        <v>8.4110903457767154</v>
      </c>
      <c r="H49" s="151">
        <f>F26/H26</f>
        <v>71.22136411300508</v>
      </c>
      <c r="I49" s="151">
        <v>0</v>
      </c>
    </row>
    <row r="50" spans="2:9">
      <c r="I50" s="152"/>
    </row>
    <row r="51" spans="2:9">
      <c r="F51" s="153"/>
    </row>
  </sheetData>
  <sortState xmlns:xlrd2="http://schemas.microsoft.com/office/spreadsheetml/2017/richdata2" ref="A9:WVT18">
    <sortCondition descending="1" ref="G9:G18"/>
  </sortState>
  <mergeCells count="5">
    <mergeCell ref="G29:G30"/>
    <mergeCell ref="H29:H30"/>
    <mergeCell ref="I29:I30"/>
    <mergeCell ref="E29:F29"/>
    <mergeCell ref="E6:F6"/>
  </mergeCells>
  <pageMargins left="0.75" right="0.75" top="1" bottom="1" header="0.5" footer="0.5"/>
  <pageSetup scale="36" orientation="portrait" horizontalDpi="200" verticalDpi="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2:V41"/>
  <sheetViews>
    <sheetView showGridLines="0" topLeftCell="A8" zoomScaleNormal="100" workbookViewId="0">
      <selection activeCell="H10" sqref="H10:I18"/>
    </sheetView>
  </sheetViews>
  <sheetFormatPr defaultColWidth="9.109375" defaultRowHeight="15.6"/>
  <cols>
    <col min="1" max="1" width="2.6640625" style="60" customWidth="1"/>
    <col min="2" max="2" width="41.88671875" style="60" bestFit="1" customWidth="1"/>
    <col min="3" max="3" width="35.44140625" style="60" bestFit="1" customWidth="1"/>
    <col min="4" max="4" width="13.6640625" style="60" bestFit="1" customWidth="1"/>
    <col min="5" max="5" width="22.5546875" style="60" customWidth="1"/>
    <col min="6" max="6" width="10.109375" style="60" customWidth="1"/>
    <col min="7" max="7" width="11.88671875" style="60" customWidth="1"/>
    <col min="8" max="9" width="10.109375" style="60" customWidth="1"/>
    <col min="10" max="18" width="10.6640625" style="60" customWidth="1"/>
    <col min="19" max="16384" width="9.109375" style="60"/>
  </cols>
  <sheetData>
    <row r="2" spans="1:9" ht="18">
      <c r="B2" s="455" t="s">
        <v>269</v>
      </c>
      <c r="C2" s="65"/>
      <c r="D2" s="65"/>
    </row>
    <row r="3" spans="1:9">
      <c r="B3" s="60" t="str">
        <f>+'[1]JAZZ-DCF'!$B$3</f>
        <v>($ in Millions Except Per Share and Per Unit Data)</v>
      </c>
    </row>
    <row r="4" spans="1:9" ht="13.2" customHeight="1"/>
    <row r="5" spans="1:9">
      <c r="B5" s="112" t="str">
        <f>Company_Name&amp;" - Comparable M&amp;A Transactions"</f>
        <v>AeroVironment, Inc.  - Comparable M&amp;A Transactions</v>
      </c>
      <c r="C5" s="112"/>
      <c r="D5" s="112"/>
      <c r="E5" s="113"/>
      <c r="F5" s="141" t="s">
        <v>270</v>
      </c>
      <c r="G5" s="155"/>
      <c r="H5" s="141" t="s">
        <v>271</v>
      </c>
      <c r="I5" s="141"/>
    </row>
    <row r="6" spans="1:9">
      <c r="B6" s="112"/>
      <c r="C6" s="112"/>
      <c r="D6" s="112"/>
      <c r="E6" s="113" t="s">
        <v>272</v>
      </c>
      <c r="F6" s="141"/>
      <c r="G6" s="155"/>
      <c r="H6" s="113" t="s">
        <v>273</v>
      </c>
      <c r="I6" s="113" t="s">
        <v>273</v>
      </c>
    </row>
    <row r="7" spans="1:9">
      <c r="B7" s="143"/>
      <c r="C7" s="143"/>
      <c r="D7" s="113"/>
      <c r="E7" s="113" t="s">
        <v>220</v>
      </c>
      <c r="F7" s="113" t="s">
        <v>274</v>
      </c>
      <c r="G7" s="113" t="s">
        <v>274</v>
      </c>
      <c r="H7" s="113" t="s">
        <v>274</v>
      </c>
      <c r="I7" s="113" t="s">
        <v>274</v>
      </c>
    </row>
    <row r="8" spans="1:9">
      <c r="B8" s="487" t="s">
        <v>275</v>
      </c>
      <c r="C8" s="487" t="s">
        <v>276</v>
      </c>
      <c r="D8" s="487" t="s">
        <v>277</v>
      </c>
      <c r="E8" s="487" t="s">
        <v>170</v>
      </c>
      <c r="F8" s="487" t="s">
        <v>21</v>
      </c>
      <c r="G8" s="487" t="s">
        <v>221</v>
      </c>
      <c r="H8" s="487" t="s">
        <v>21</v>
      </c>
      <c r="I8" s="487" t="s">
        <v>221</v>
      </c>
    </row>
    <row r="9" spans="1:9">
      <c r="B9" s="156"/>
      <c r="C9" s="156"/>
      <c r="D9" s="157"/>
      <c r="E9" s="246"/>
      <c r="F9" s="246"/>
      <c r="G9" s="246"/>
      <c r="H9" s="248"/>
      <c r="I9" s="248"/>
    </row>
    <row r="10" spans="1:9">
      <c r="A10" s="148">
        <v>1</v>
      </c>
      <c r="B10" s="156" t="s">
        <v>278</v>
      </c>
      <c r="C10" s="568" t="s">
        <v>279</v>
      </c>
      <c r="D10" s="569">
        <v>45256</v>
      </c>
      <c r="E10" s="485">
        <v>800</v>
      </c>
      <c r="F10" s="486">
        <v>525</v>
      </c>
      <c r="G10" s="486">
        <v>53.333333333333336</v>
      </c>
      <c r="H10" s="248">
        <f t="shared" ref="H10:H18" si="0">IFERROR($E10/F10,"NA")</f>
        <v>1.5238095238095237</v>
      </c>
      <c r="I10" s="248">
        <f t="shared" ref="I10:I18" si="1">IFERROR($E10/G10,"NA")</f>
        <v>15</v>
      </c>
    </row>
    <row r="11" spans="1:9">
      <c r="A11" s="148">
        <v>2</v>
      </c>
      <c r="B11" s="156" t="s">
        <v>281</v>
      </c>
      <c r="C11" s="156" t="s">
        <v>282</v>
      </c>
      <c r="D11" s="569">
        <v>45310</v>
      </c>
      <c r="E11" s="485">
        <v>1800</v>
      </c>
      <c r="F11" s="486">
        <v>769</v>
      </c>
      <c r="G11" s="486">
        <v>112</v>
      </c>
      <c r="H11" s="248">
        <f t="shared" si="0"/>
        <v>2.3407022106631992</v>
      </c>
      <c r="I11" s="248">
        <f t="shared" si="1"/>
        <v>16.071428571428573</v>
      </c>
    </row>
    <row r="12" spans="1:9">
      <c r="A12" s="148">
        <v>3</v>
      </c>
      <c r="B12" s="156" t="s">
        <v>283</v>
      </c>
      <c r="C12" s="156" t="s">
        <v>284</v>
      </c>
      <c r="D12" s="569">
        <v>45463</v>
      </c>
      <c r="E12" s="247">
        <v>1900</v>
      </c>
      <c r="F12" s="486" t="s">
        <v>280</v>
      </c>
      <c r="G12" s="486">
        <v>135.71428571428572</v>
      </c>
      <c r="H12" s="248" t="str">
        <f t="shared" si="0"/>
        <v>NA</v>
      </c>
      <c r="I12" s="248">
        <f t="shared" si="1"/>
        <v>14</v>
      </c>
    </row>
    <row r="13" spans="1:9">
      <c r="A13" s="148">
        <v>4</v>
      </c>
      <c r="B13" s="156" t="s">
        <v>391</v>
      </c>
      <c r="C13" s="156" t="s">
        <v>392</v>
      </c>
      <c r="D13" s="569">
        <v>45474</v>
      </c>
      <c r="E13" s="247">
        <v>8400</v>
      </c>
      <c r="F13" s="486">
        <v>6446.9</v>
      </c>
      <c r="G13" s="486">
        <v>-777.2</v>
      </c>
      <c r="H13" s="248">
        <f t="shared" si="0"/>
        <v>1.3029518062944982</v>
      </c>
      <c r="I13" s="248">
        <f t="shared" si="1"/>
        <v>-10.80802882141019</v>
      </c>
    </row>
    <row r="14" spans="1:9">
      <c r="A14" s="148">
        <v>5</v>
      </c>
      <c r="B14" s="156" t="s">
        <v>393</v>
      </c>
      <c r="C14" s="156" t="s">
        <v>394</v>
      </c>
      <c r="D14" s="569">
        <v>45778</v>
      </c>
      <c r="E14" s="247">
        <v>4100</v>
      </c>
      <c r="F14" s="247">
        <v>842.68499999999995</v>
      </c>
      <c r="G14" s="247">
        <v>25.122</v>
      </c>
      <c r="H14" s="248">
        <f t="shared" si="0"/>
        <v>4.8654004758599001</v>
      </c>
      <c r="I14" s="248">
        <f t="shared" si="1"/>
        <v>163.20356659501633</v>
      </c>
    </row>
    <row r="15" spans="1:9">
      <c r="A15" s="148">
        <v>6</v>
      </c>
      <c r="B15" s="156" t="s">
        <v>395</v>
      </c>
      <c r="C15" s="156" t="s">
        <v>396</v>
      </c>
      <c r="D15" s="569">
        <v>45838</v>
      </c>
      <c r="E15" s="247">
        <v>765</v>
      </c>
      <c r="F15" s="247">
        <v>350</v>
      </c>
      <c r="G15" s="247" t="s">
        <v>280</v>
      </c>
      <c r="H15" s="248">
        <f t="shared" si="0"/>
        <v>2.1857142857142855</v>
      </c>
      <c r="I15" s="248" t="str">
        <f t="shared" si="1"/>
        <v>NA</v>
      </c>
    </row>
    <row r="16" spans="1:9">
      <c r="A16" s="148">
        <v>7</v>
      </c>
      <c r="B16" s="156" t="s">
        <v>398</v>
      </c>
      <c r="C16" s="156" t="s">
        <v>397</v>
      </c>
      <c r="D16" s="569">
        <v>45870</v>
      </c>
      <c r="E16" s="247">
        <v>10500</v>
      </c>
      <c r="F16" s="247">
        <v>3089.7</v>
      </c>
      <c r="G16" s="247">
        <v>761.1</v>
      </c>
      <c r="H16" s="248">
        <f t="shared" si="0"/>
        <v>3.3983881930284494</v>
      </c>
      <c r="I16" s="248">
        <f t="shared" si="1"/>
        <v>13.795821836815136</v>
      </c>
    </row>
    <row r="17" spans="1:9">
      <c r="A17" s="148">
        <v>8</v>
      </c>
      <c r="B17" s="156" t="s">
        <v>400</v>
      </c>
      <c r="C17" s="156" t="s">
        <v>399</v>
      </c>
      <c r="D17" s="569">
        <v>45882</v>
      </c>
      <c r="E17" s="247">
        <v>400</v>
      </c>
      <c r="F17" s="247">
        <v>20</v>
      </c>
      <c r="G17" s="247" t="s">
        <v>280</v>
      </c>
      <c r="H17" s="248">
        <f t="shared" si="0"/>
        <v>20</v>
      </c>
      <c r="I17" s="248" t="str">
        <f t="shared" si="1"/>
        <v>NA</v>
      </c>
    </row>
    <row r="18" spans="1:9">
      <c r="A18" s="148">
        <v>9</v>
      </c>
      <c r="B18" s="156" t="s">
        <v>398</v>
      </c>
      <c r="C18" s="156" t="s">
        <v>401</v>
      </c>
      <c r="D18" s="569">
        <v>45691</v>
      </c>
      <c r="E18" s="247">
        <v>2100</v>
      </c>
      <c r="F18" s="247">
        <v>1266</v>
      </c>
      <c r="G18" s="247">
        <v>339</v>
      </c>
      <c r="H18" s="248">
        <f t="shared" si="0"/>
        <v>1.6587677725118484</v>
      </c>
      <c r="I18" s="248">
        <f t="shared" si="1"/>
        <v>6.1946902654867255</v>
      </c>
    </row>
    <row r="19" spans="1:9">
      <c r="B19" s="156"/>
      <c r="C19" s="156"/>
      <c r="D19" s="157"/>
      <c r="E19" s="247"/>
      <c r="F19" s="247"/>
      <c r="G19" s="247"/>
      <c r="H19" s="248"/>
      <c r="I19" s="248"/>
    </row>
    <row r="20" spans="1:9">
      <c r="D20" s="158"/>
      <c r="E20" s="159"/>
      <c r="F20" s="159"/>
      <c r="G20" s="159"/>
      <c r="H20" s="160"/>
      <c r="I20" s="160"/>
    </row>
    <row r="21" spans="1:9">
      <c r="C21" s="161" t="s">
        <v>198</v>
      </c>
      <c r="D21" s="162"/>
      <c r="E21" s="242">
        <f>MAX(E9:E19)</f>
        <v>10500</v>
      </c>
      <c r="F21" s="242">
        <f>MAX(F9:F19)</f>
        <v>6446.9</v>
      </c>
      <c r="G21" s="242">
        <f>MAX(G9:G19)</f>
        <v>761.1</v>
      </c>
      <c r="H21" s="163">
        <f>MAX(H9:H19)</f>
        <v>20</v>
      </c>
      <c r="I21" s="456">
        <f>MAX(I9:I19)</f>
        <v>163.20356659501633</v>
      </c>
    </row>
    <row r="22" spans="1:9">
      <c r="C22" s="164" t="s">
        <v>246</v>
      </c>
      <c r="D22" s="165"/>
      <c r="E22" s="127">
        <f>QUARTILE(E9:E19,3)</f>
        <v>4100</v>
      </c>
      <c r="F22" s="127">
        <f>QUARTILE(F9:F19,3)</f>
        <v>1721.925</v>
      </c>
      <c r="G22" s="127">
        <f>QUARTILE(G9:G19,3)</f>
        <v>237.35714285714286</v>
      </c>
      <c r="H22" s="166">
        <f>QUARTILE(H9:H19,3)</f>
        <v>3.7651412637363122</v>
      </c>
      <c r="I22" s="457">
        <f>QUARTILE(I9:I19,3)</f>
        <v>15.535714285714286</v>
      </c>
    </row>
    <row r="23" spans="1:9">
      <c r="B23" s="65"/>
      <c r="C23" s="167" t="s">
        <v>186</v>
      </c>
      <c r="D23" s="168"/>
      <c r="E23" s="243">
        <f>MEDIAN(E9:E19)</f>
        <v>1900</v>
      </c>
      <c r="F23" s="243">
        <f>MEDIAN(F9:F19)</f>
        <v>805.84249999999997</v>
      </c>
      <c r="G23" s="243">
        <f>MEDIAN(G9:G19)</f>
        <v>112</v>
      </c>
      <c r="H23" s="169">
        <f>MEDIAN(H9:H19)</f>
        <v>2.2632082481887421</v>
      </c>
      <c r="I23" s="458">
        <f>MEDIAN(I9:I19)</f>
        <v>14</v>
      </c>
    </row>
    <row r="24" spans="1:9">
      <c r="C24" s="164" t="s">
        <v>247</v>
      </c>
      <c r="D24" s="165"/>
      <c r="E24" s="244">
        <f>QUARTILE(E9:E19,1)</f>
        <v>800</v>
      </c>
      <c r="F24" s="244">
        <f>QUARTILE(F9:F19,1)</f>
        <v>481.25</v>
      </c>
      <c r="G24" s="244">
        <f>QUARTILE(G9:G19,1)</f>
        <v>39.227666666666664</v>
      </c>
      <c r="H24" s="166">
        <f>QUARTILE(H9:H19,1)</f>
        <v>1.6250282103362672</v>
      </c>
      <c r="I24" s="457">
        <f>QUARTILE(I9:I19,1)</f>
        <v>9.9952560511509319</v>
      </c>
    </row>
    <row r="25" spans="1:9">
      <c r="C25" s="170" t="s">
        <v>200</v>
      </c>
      <c r="D25" s="171"/>
      <c r="E25" s="245">
        <f>MIN(E9:E19)</f>
        <v>400</v>
      </c>
      <c r="F25" s="245">
        <f>MIN(F9:F19)</f>
        <v>20</v>
      </c>
      <c r="G25" s="245">
        <f>MIN(G9:G19)</f>
        <v>-777.2</v>
      </c>
      <c r="H25" s="172">
        <f>MIN(H9:H19)</f>
        <v>1.3029518062944982</v>
      </c>
      <c r="I25" s="459">
        <f>MIN(I9:I19)</f>
        <v>-10.80802882141019</v>
      </c>
    </row>
    <row r="27" spans="1:9">
      <c r="H27" s="166"/>
      <c r="I27" s="166"/>
    </row>
    <row r="39" spans="22:22">
      <c r="V39" s="154"/>
    </row>
    <row r="40" spans="22:22">
      <c r="V40" s="154"/>
    </row>
    <row r="41" spans="22:22">
      <c r="V41" s="154"/>
    </row>
  </sheetData>
  <pageMargins left="0.75" right="0.75" top="1" bottom="1" header="0.5" footer="0.5"/>
  <pageSetup scale="45" orientation="portrait" horizontalDpi="200" verticalDpi="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B43E-5AB3-4C3E-9E14-68F26C81532D}">
  <dimension ref="A2:I82"/>
  <sheetViews>
    <sheetView zoomScale="97" workbookViewId="0">
      <selection activeCell="K110" sqref="K110"/>
    </sheetView>
  </sheetViews>
  <sheetFormatPr defaultRowHeight="14.4"/>
  <cols>
    <col min="1" max="2" width="8.88671875" style="303"/>
    <col min="3" max="3" width="13.21875" style="303" customWidth="1"/>
    <col min="4" max="4" width="8.88671875" style="303"/>
    <col min="5" max="5" width="9.21875" style="303" bestFit="1" customWidth="1"/>
    <col min="6" max="16384" width="8.88671875" style="303"/>
  </cols>
  <sheetData>
    <row r="2" spans="2:9">
      <c r="B2" s="579" t="s">
        <v>291</v>
      </c>
      <c r="C2" s="579"/>
      <c r="D2" s="580" t="s">
        <v>292</v>
      </c>
      <c r="E2" s="580"/>
      <c r="F2" s="580"/>
      <c r="G2" s="580"/>
    </row>
    <row r="3" spans="2:9">
      <c r="B3" s="579" t="s">
        <v>293</v>
      </c>
      <c r="C3" s="579"/>
      <c r="D3" s="489" t="s">
        <v>235</v>
      </c>
    </row>
    <row r="5" spans="2:9">
      <c r="B5" s="578" t="s">
        <v>294</v>
      </c>
      <c r="C5" s="578"/>
      <c r="D5" s="490" t="s">
        <v>235</v>
      </c>
      <c r="E5" s="493"/>
      <c r="F5" s="488"/>
    </row>
    <row r="6" spans="2:9">
      <c r="B6" s="575" t="s">
        <v>74</v>
      </c>
      <c r="C6" s="575"/>
      <c r="D6" s="303">
        <v>1136.3</v>
      </c>
    </row>
    <row r="7" spans="2:9">
      <c r="B7" s="575" t="s">
        <v>324</v>
      </c>
      <c r="C7" s="575"/>
      <c r="D7" s="303">
        <v>849.1</v>
      </c>
    </row>
    <row r="8" spans="2:9">
      <c r="B8" s="575" t="s">
        <v>83</v>
      </c>
      <c r="C8" s="575"/>
      <c r="D8" s="303">
        <v>287.2</v>
      </c>
    </row>
    <row r="9" spans="2:9">
      <c r="B9" s="578" t="s">
        <v>331</v>
      </c>
      <c r="C9" s="578"/>
      <c r="D9" s="500">
        <f>D8/D6</f>
        <v>0.25275015400862449</v>
      </c>
    </row>
    <row r="10" spans="2:9">
      <c r="B10" s="575" t="s">
        <v>295</v>
      </c>
      <c r="C10" s="575"/>
      <c r="D10" s="303">
        <v>184.2</v>
      </c>
    </row>
    <row r="11" spans="2:9">
      <c r="B11" s="575" t="s">
        <v>296</v>
      </c>
      <c r="C11" s="575"/>
      <c r="D11" s="303">
        <v>40.299999999999997</v>
      </c>
    </row>
    <row r="12" spans="2:9">
      <c r="B12" s="575" t="s">
        <v>297</v>
      </c>
      <c r="C12" s="575"/>
      <c r="D12" s="303">
        <v>16.3</v>
      </c>
    </row>
    <row r="14" spans="2:9" ht="15.6">
      <c r="B14" s="491" t="s">
        <v>298</v>
      </c>
      <c r="C14" s="20"/>
      <c r="D14" s="20"/>
      <c r="E14" s="20"/>
      <c r="F14" s="20"/>
      <c r="G14" s="20"/>
      <c r="H14" s="20"/>
    </row>
    <row r="15" spans="2:9" ht="15.6">
      <c r="B15" s="20" t="s">
        <v>299</v>
      </c>
      <c r="C15" s="491"/>
      <c r="D15" s="491"/>
      <c r="E15" s="491"/>
      <c r="F15" s="491"/>
      <c r="G15" s="491"/>
      <c r="H15" s="491"/>
    </row>
    <row r="16" spans="2:9">
      <c r="I16" s="488"/>
    </row>
    <row r="17" spans="2:5">
      <c r="B17" s="575" t="s">
        <v>300</v>
      </c>
      <c r="C17" s="575"/>
      <c r="D17" s="494" t="s">
        <v>294</v>
      </c>
      <c r="E17" s="496">
        <f>'AVAV-DCF'!J134/Units</f>
        <v>1902.8040000000001</v>
      </c>
    </row>
    <row r="18" spans="2:5">
      <c r="B18" s="490"/>
      <c r="C18" s="490"/>
      <c r="D18" s="494"/>
    </row>
    <row r="19" spans="2:5">
      <c r="B19" s="575" t="s">
        <v>301</v>
      </c>
      <c r="C19" s="575"/>
      <c r="E19" s="495">
        <v>0.05</v>
      </c>
    </row>
    <row r="20" spans="2:5">
      <c r="B20" s="575" t="s">
        <v>302</v>
      </c>
      <c r="C20" s="575"/>
      <c r="E20" s="495">
        <v>0.03</v>
      </c>
    </row>
    <row r="22" spans="2:5">
      <c r="B22" s="575" t="s">
        <v>303</v>
      </c>
      <c r="C22" s="575"/>
      <c r="D22" s="494" t="s">
        <v>294</v>
      </c>
      <c r="E22" s="498">
        <f>E19*E17 + E20*D6</f>
        <v>129.22919999999999</v>
      </c>
    </row>
    <row r="24" spans="2:5" ht="15.6">
      <c r="B24" s="20" t="s">
        <v>304</v>
      </c>
      <c r="C24" s="491"/>
      <c r="D24" s="491"/>
      <c r="E24" s="491"/>
    </row>
    <row r="26" spans="2:5">
      <c r="B26" s="575" t="s">
        <v>305</v>
      </c>
      <c r="C26" s="575"/>
      <c r="D26" s="494" t="s">
        <v>294</v>
      </c>
      <c r="E26" s="303">
        <v>1090</v>
      </c>
    </row>
    <row r="27" spans="2:5">
      <c r="B27" s="575" t="s">
        <v>306</v>
      </c>
      <c r="C27" s="575"/>
      <c r="D27" s="494" t="s">
        <v>294</v>
      </c>
      <c r="E27" s="303">
        <v>1350</v>
      </c>
    </row>
    <row r="29" spans="2:5">
      <c r="B29" s="575" t="s">
        <v>307</v>
      </c>
      <c r="C29" s="575"/>
      <c r="E29" s="495">
        <v>0.03</v>
      </c>
    </row>
    <row r="31" spans="2:5">
      <c r="B31" s="575" t="s">
        <v>308</v>
      </c>
      <c r="C31" s="575"/>
      <c r="D31" s="494" t="s">
        <v>294</v>
      </c>
      <c r="E31" s="498">
        <f>(E26+E27)*E29</f>
        <v>73.2</v>
      </c>
    </row>
    <row r="33" spans="2:5" ht="15.6">
      <c r="B33" s="20" t="s">
        <v>309</v>
      </c>
      <c r="C33" s="491"/>
      <c r="D33" s="491"/>
      <c r="E33" s="491"/>
    </row>
    <row r="35" spans="2:5" ht="14.4" customHeight="1">
      <c r="B35" s="577" t="s">
        <v>311</v>
      </c>
      <c r="C35" s="577"/>
      <c r="D35" s="577"/>
      <c r="E35" s="495">
        <v>0.02</v>
      </c>
    </row>
    <row r="37" spans="2:5">
      <c r="B37" s="575" t="s">
        <v>310</v>
      </c>
      <c r="C37" s="575"/>
      <c r="D37" s="494" t="s">
        <v>294</v>
      </c>
      <c r="E37" s="498">
        <f>E35*SUM(E17,D6)</f>
        <v>60.782080000000008</v>
      </c>
    </row>
    <row r="39" spans="2:5" ht="15.6">
      <c r="B39" s="491" t="s">
        <v>312</v>
      </c>
      <c r="C39" s="491"/>
      <c r="D39" s="491"/>
      <c r="E39" s="491"/>
    </row>
    <row r="40" spans="2:5" ht="15.6">
      <c r="B40" s="20" t="s">
        <v>313</v>
      </c>
      <c r="C40" s="491"/>
      <c r="D40" s="491"/>
      <c r="E40" s="491"/>
    </row>
    <row r="42" spans="2:5">
      <c r="B42" s="575" t="s">
        <v>315</v>
      </c>
      <c r="C42" s="575"/>
      <c r="D42" s="494" t="s">
        <v>294</v>
      </c>
      <c r="E42" s="496">
        <f>'AVAV-DCF'!I144/Units</f>
        <v>115.855</v>
      </c>
    </row>
    <row r="43" spans="2:5">
      <c r="B43" s="490"/>
      <c r="C43" s="490"/>
      <c r="D43" s="494"/>
      <c r="E43" s="496"/>
    </row>
    <row r="44" spans="2:5">
      <c r="B44" s="575" t="s">
        <v>314</v>
      </c>
      <c r="C44" s="575"/>
      <c r="E44" s="495">
        <v>0.18</v>
      </c>
    </row>
    <row r="45" spans="2:5">
      <c r="B45" s="490"/>
      <c r="C45" s="490"/>
      <c r="E45" s="495"/>
    </row>
    <row r="46" spans="2:5">
      <c r="B46" s="575" t="s">
        <v>318</v>
      </c>
      <c r="C46" s="575"/>
      <c r="D46" s="494" t="s">
        <v>294</v>
      </c>
      <c r="E46" s="498">
        <f>E44*(E42+D10)</f>
        <v>54.009900000000002</v>
      </c>
    </row>
    <row r="47" spans="2:5">
      <c r="B47" s="575"/>
      <c r="C47" s="575"/>
    </row>
    <row r="48" spans="2:5" ht="15.6">
      <c r="B48" s="20" t="s">
        <v>316</v>
      </c>
      <c r="C48" s="491"/>
      <c r="D48" s="491"/>
      <c r="E48" s="491"/>
    </row>
    <row r="50" spans="2:5">
      <c r="B50" s="575" t="s">
        <v>317</v>
      </c>
      <c r="C50" s="575"/>
      <c r="D50" s="494" t="s">
        <v>294</v>
      </c>
      <c r="E50" s="496">
        <f>'AVAV-DCF'!J144/Units</f>
        <v>123.68226000000001</v>
      </c>
    </row>
    <row r="51" spans="2:5">
      <c r="B51" s="490"/>
      <c r="C51" s="490"/>
      <c r="D51" s="494"/>
      <c r="E51" s="496"/>
    </row>
    <row r="52" spans="2:5">
      <c r="B52" s="575" t="s">
        <v>319</v>
      </c>
      <c r="C52" s="575"/>
      <c r="E52" s="495">
        <v>0.1</v>
      </c>
    </row>
    <row r="54" spans="2:5">
      <c r="B54" s="575" t="s">
        <v>320</v>
      </c>
      <c r="C54" s="575"/>
      <c r="D54" s="494" t="s">
        <v>294</v>
      </c>
      <c r="E54" s="498">
        <f>E52*(E50+D11)</f>
        <v>16.398226000000001</v>
      </c>
    </row>
    <row r="56" spans="2:5" ht="15.6">
      <c r="B56" s="20" t="s">
        <v>321</v>
      </c>
      <c r="C56" s="491"/>
      <c r="D56" s="491"/>
      <c r="E56" s="491"/>
    </row>
    <row r="58" spans="2:5">
      <c r="B58" s="575" t="s">
        <v>322</v>
      </c>
      <c r="C58" s="575"/>
      <c r="D58" s="494" t="s">
        <v>294</v>
      </c>
      <c r="E58" s="496">
        <f>'AVAV-DCF'!J137/Units</f>
        <v>1147.220824</v>
      </c>
    </row>
    <row r="59" spans="2:5">
      <c r="B59" s="490"/>
      <c r="C59" s="490"/>
      <c r="D59" s="494"/>
      <c r="E59" s="496"/>
    </row>
    <row r="60" spans="2:5">
      <c r="B60" s="576" t="s">
        <v>325</v>
      </c>
      <c r="C60" s="576"/>
      <c r="D60" s="576"/>
      <c r="E60" s="386">
        <v>2.5000000000000001E-2</v>
      </c>
    </row>
    <row r="62" spans="2:5">
      <c r="B62" s="575" t="s">
        <v>323</v>
      </c>
      <c r="C62" s="575"/>
      <c r="D62" s="494" t="s">
        <v>294</v>
      </c>
      <c r="E62" s="498">
        <f>E60*(E58+D7)</f>
        <v>49.9080206</v>
      </c>
    </row>
    <row r="64" spans="2:5" ht="15.6">
      <c r="B64" s="20" t="s">
        <v>326</v>
      </c>
      <c r="C64" s="491"/>
      <c r="D64" s="491"/>
      <c r="E64" s="491"/>
    </row>
    <row r="66" spans="2:5">
      <c r="B66" s="575" t="s">
        <v>327</v>
      </c>
      <c r="C66" s="575"/>
      <c r="D66" s="494" t="s">
        <v>294</v>
      </c>
      <c r="E66" s="498">
        <v>15</v>
      </c>
    </row>
    <row r="68" spans="2:5" ht="15.6">
      <c r="B68" s="491" t="s">
        <v>328</v>
      </c>
      <c r="C68" s="491"/>
      <c r="D68" s="491"/>
      <c r="E68" s="491"/>
    </row>
    <row r="70" spans="2:5">
      <c r="B70" s="576" t="s">
        <v>329</v>
      </c>
      <c r="C70" s="576"/>
      <c r="D70" s="494" t="s">
        <v>294</v>
      </c>
      <c r="E70" s="498">
        <f>SUM(E22,E31,E37)</f>
        <v>263.21127999999999</v>
      </c>
    </row>
    <row r="71" spans="2:5">
      <c r="B71" s="576" t="s">
        <v>330</v>
      </c>
      <c r="C71" s="576"/>
      <c r="D71" s="494" t="s">
        <v>294</v>
      </c>
      <c r="E71" s="498">
        <f>SUM(E66,E62,E54,E46)</f>
        <v>135.31614660000002</v>
      </c>
    </row>
    <row r="72" spans="2:5">
      <c r="B72" s="499"/>
      <c r="C72" s="499"/>
      <c r="D72" s="494"/>
      <c r="E72" s="497"/>
    </row>
    <row r="73" spans="2:5">
      <c r="B73" s="576" t="s">
        <v>335</v>
      </c>
      <c r="C73" s="576"/>
      <c r="D73" s="494"/>
      <c r="E73" s="503">
        <f>('Public Comps'!H26+ 68.7)/('Public Comps'!G26+1280)</f>
        <v>9.4486128350161985E-2</v>
      </c>
    </row>
    <row r="74" spans="2:5">
      <c r="B74" s="499"/>
      <c r="C74" s="499"/>
      <c r="D74" s="494"/>
      <c r="E74" s="497"/>
    </row>
    <row r="75" spans="2:5">
      <c r="B75" s="576" t="s">
        <v>337</v>
      </c>
      <c r="C75" s="576"/>
      <c r="D75" s="494" t="s">
        <v>294</v>
      </c>
      <c r="E75" s="498">
        <f>(E73*E70) + E71</f>
        <v>160.18596138529045</v>
      </c>
    </row>
    <row r="76" spans="2:5">
      <c r="E76" s="494"/>
    </row>
    <row r="77" spans="2:5">
      <c r="B77" s="576" t="s">
        <v>332</v>
      </c>
      <c r="C77" s="576"/>
      <c r="D77" s="576"/>
      <c r="E77" s="498">
        <f>E17+D6+E70</f>
        <v>3302.3152800000003</v>
      </c>
    </row>
    <row r="78" spans="2:5">
      <c r="B78" s="576" t="s">
        <v>333</v>
      </c>
      <c r="C78" s="576"/>
      <c r="D78" s="576"/>
      <c r="E78" s="498">
        <f>E58+D7-E62-E66</f>
        <v>1931.4128033999998</v>
      </c>
    </row>
    <row r="79" spans="2:5">
      <c r="B79" s="501"/>
      <c r="C79" s="501"/>
      <c r="D79" s="501"/>
    </row>
    <row r="80" spans="2:5">
      <c r="B80" s="576" t="s">
        <v>334</v>
      </c>
      <c r="C80" s="576"/>
      <c r="D80" s="576"/>
      <c r="E80" s="498">
        <f>E77-E78</f>
        <v>1370.9024766000005</v>
      </c>
    </row>
    <row r="81" spans="1:5">
      <c r="B81" s="576" t="s">
        <v>336</v>
      </c>
      <c r="C81" s="576"/>
      <c r="D81" s="576"/>
      <c r="E81" s="498">
        <f>105.7+(('AVAV-DCF'!J139-'AVAV-DCF'!J143-'AVAV-DCF'!J144)/Units)+'Synergy Calc'!E75</f>
        <v>697.99245738529044</v>
      </c>
    </row>
    <row r="82" spans="1:5">
      <c r="A82" s="305"/>
      <c r="B82" s="492" t="s">
        <v>338</v>
      </c>
      <c r="E82" s="503">
        <f>E81/E77</f>
        <v>0.21136457249027124</v>
      </c>
    </row>
  </sheetData>
  <mergeCells count="40">
    <mergeCell ref="B5:C5"/>
    <mergeCell ref="B9:C9"/>
    <mergeCell ref="B2:C2"/>
    <mergeCell ref="D2:G2"/>
    <mergeCell ref="B3:C3"/>
    <mergeCell ref="B6:C6"/>
    <mergeCell ref="B7:C7"/>
    <mergeCell ref="B27:C27"/>
    <mergeCell ref="B8:C8"/>
    <mergeCell ref="B10:C10"/>
    <mergeCell ref="B11:C11"/>
    <mergeCell ref="B12:C12"/>
    <mergeCell ref="B17:C17"/>
    <mergeCell ref="B19:C19"/>
    <mergeCell ref="B20:C20"/>
    <mergeCell ref="B22:C22"/>
    <mergeCell ref="B26:C26"/>
    <mergeCell ref="B58:C58"/>
    <mergeCell ref="B62:C62"/>
    <mergeCell ref="B60:D60"/>
    <mergeCell ref="B66:C66"/>
    <mergeCell ref="B31:C31"/>
    <mergeCell ref="B37:C37"/>
    <mergeCell ref="B35:D35"/>
    <mergeCell ref="B52:C52"/>
    <mergeCell ref="B29:C29"/>
    <mergeCell ref="B81:D81"/>
    <mergeCell ref="B75:C75"/>
    <mergeCell ref="B70:C70"/>
    <mergeCell ref="B71:C71"/>
    <mergeCell ref="B73:C73"/>
    <mergeCell ref="B44:C44"/>
    <mergeCell ref="B47:C47"/>
    <mergeCell ref="B42:C42"/>
    <mergeCell ref="B50:C50"/>
    <mergeCell ref="B46:C46"/>
    <mergeCell ref="B78:D78"/>
    <mergeCell ref="B80:D80"/>
    <mergeCell ref="B77:D77"/>
    <mergeCell ref="B54:C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B2:R49"/>
  <sheetViews>
    <sheetView showGridLines="0" topLeftCell="A9" zoomScale="79" zoomScaleNormal="100" workbookViewId="0">
      <selection activeCell="O23" sqref="O23"/>
    </sheetView>
  </sheetViews>
  <sheetFormatPr defaultRowHeight="15.6"/>
  <cols>
    <col min="1" max="1" width="2.6640625" style="226" customWidth="1"/>
    <col min="2" max="2" width="46.44140625" style="226" bestFit="1" customWidth="1"/>
    <col min="3" max="13" width="12.6640625" style="226" customWidth="1"/>
    <col min="14" max="14" width="8.88671875" style="226"/>
    <col min="15" max="15" width="10.88671875" style="226" bestFit="1" customWidth="1"/>
    <col min="16" max="256" width="8.88671875" style="226"/>
    <col min="257" max="257" width="2.6640625" style="226" customWidth="1"/>
    <col min="258" max="258" width="42.5546875" style="226" bestFit="1" customWidth="1"/>
    <col min="259" max="263" width="10.6640625" style="226" customWidth="1"/>
    <col min="264" max="264" width="15.88671875" style="226" customWidth="1"/>
    <col min="265" max="269" width="10.6640625" style="226" customWidth="1"/>
    <col min="270" max="270" width="8.88671875" style="226"/>
    <col min="271" max="271" width="10.88671875" style="226" bestFit="1" customWidth="1"/>
    <col min="272" max="512" width="8.88671875" style="226"/>
    <col min="513" max="513" width="2.6640625" style="226" customWidth="1"/>
    <col min="514" max="514" width="42.5546875" style="226" bestFit="1" customWidth="1"/>
    <col min="515" max="519" width="10.6640625" style="226" customWidth="1"/>
    <col min="520" max="520" width="15.88671875" style="226" customWidth="1"/>
    <col min="521" max="525" width="10.6640625" style="226" customWidth="1"/>
    <col min="526" max="526" width="8.88671875" style="226"/>
    <col min="527" max="527" width="10.88671875" style="226" bestFit="1" customWidth="1"/>
    <col min="528" max="768" width="8.88671875" style="226"/>
    <col min="769" max="769" width="2.6640625" style="226" customWidth="1"/>
    <col min="770" max="770" width="42.5546875" style="226" bestFit="1" customWidth="1"/>
    <col min="771" max="775" width="10.6640625" style="226" customWidth="1"/>
    <col min="776" max="776" width="15.88671875" style="226" customWidth="1"/>
    <col min="777" max="781" width="10.6640625" style="226" customWidth="1"/>
    <col min="782" max="782" width="8.88671875" style="226"/>
    <col min="783" max="783" width="10.88671875" style="226" bestFit="1" customWidth="1"/>
    <col min="784" max="1024" width="8.88671875" style="226"/>
    <col min="1025" max="1025" width="2.6640625" style="226" customWidth="1"/>
    <col min="1026" max="1026" width="42.5546875" style="226" bestFit="1" customWidth="1"/>
    <col min="1027" max="1031" width="10.6640625" style="226" customWidth="1"/>
    <col min="1032" max="1032" width="15.88671875" style="226" customWidth="1"/>
    <col min="1033" max="1037" width="10.6640625" style="226" customWidth="1"/>
    <col min="1038" max="1038" width="8.88671875" style="226"/>
    <col min="1039" max="1039" width="10.88671875" style="226" bestFit="1" customWidth="1"/>
    <col min="1040" max="1280" width="8.88671875" style="226"/>
    <col min="1281" max="1281" width="2.6640625" style="226" customWidth="1"/>
    <col min="1282" max="1282" width="42.5546875" style="226" bestFit="1" customWidth="1"/>
    <col min="1283" max="1287" width="10.6640625" style="226" customWidth="1"/>
    <col min="1288" max="1288" width="15.88671875" style="226" customWidth="1"/>
    <col min="1289" max="1293" width="10.6640625" style="226" customWidth="1"/>
    <col min="1294" max="1294" width="8.88671875" style="226"/>
    <col min="1295" max="1295" width="10.88671875" style="226" bestFit="1" customWidth="1"/>
    <col min="1296" max="1536" width="8.88671875" style="226"/>
    <col min="1537" max="1537" width="2.6640625" style="226" customWidth="1"/>
    <col min="1538" max="1538" width="42.5546875" style="226" bestFit="1" customWidth="1"/>
    <col min="1539" max="1543" width="10.6640625" style="226" customWidth="1"/>
    <col min="1544" max="1544" width="15.88671875" style="226" customWidth="1"/>
    <col min="1545" max="1549" width="10.6640625" style="226" customWidth="1"/>
    <col min="1550" max="1550" width="8.88671875" style="226"/>
    <col min="1551" max="1551" width="10.88671875" style="226" bestFit="1" customWidth="1"/>
    <col min="1552" max="1792" width="8.88671875" style="226"/>
    <col min="1793" max="1793" width="2.6640625" style="226" customWidth="1"/>
    <col min="1794" max="1794" width="42.5546875" style="226" bestFit="1" customWidth="1"/>
    <col min="1795" max="1799" width="10.6640625" style="226" customWidth="1"/>
    <col min="1800" max="1800" width="15.88671875" style="226" customWidth="1"/>
    <col min="1801" max="1805" width="10.6640625" style="226" customWidth="1"/>
    <col min="1806" max="1806" width="8.88671875" style="226"/>
    <col min="1807" max="1807" width="10.88671875" style="226" bestFit="1" customWidth="1"/>
    <col min="1808" max="2048" width="8.88671875" style="226"/>
    <col min="2049" max="2049" width="2.6640625" style="226" customWidth="1"/>
    <col min="2050" max="2050" width="42.5546875" style="226" bestFit="1" customWidth="1"/>
    <col min="2051" max="2055" width="10.6640625" style="226" customWidth="1"/>
    <col min="2056" max="2056" width="15.88671875" style="226" customWidth="1"/>
    <col min="2057" max="2061" width="10.6640625" style="226" customWidth="1"/>
    <col min="2062" max="2062" width="8.88671875" style="226"/>
    <col min="2063" max="2063" width="10.88671875" style="226" bestFit="1" customWidth="1"/>
    <col min="2064" max="2304" width="8.88671875" style="226"/>
    <col min="2305" max="2305" width="2.6640625" style="226" customWidth="1"/>
    <col min="2306" max="2306" width="42.5546875" style="226" bestFit="1" customWidth="1"/>
    <col min="2307" max="2311" width="10.6640625" style="226" customWidth="1"/>
    <col min="2312" max="2312" width="15.88671875" style="226" customWidth="1"/>
    <col min="2313" max="2317" width="10.6640625" style="226" customWidth="1"/>
    <col min="2318" max="2318" width="8.88671875" style="226"/>
    <col min="2319" max="2319" width="10.88671875" style="226" bestFit="1" customWidth="1"/>
    <col min="2320" max="2560" width="8.88671875" style="226"/>
    <col min="2561" max="2561" width="2.6640625" style="226" customWidth="1"/>
    <col min="2562" max="2562" width="42.5546875" style="226" bestFit="1" customWidth="1"/>
    <col min="2563" max="2567" width="10.6640625" style="226" customWidth="1"/>
    <col min="2568" max="2568" width="15.88671875" style="226" customWidth="1"/>
    <col min="2569" max="2573" width="10.6640625" style="226" customWidth="1"/>
    <col min="2574" max="2574" width="8.88671875" style="226"/>
    <col min="2575" max="2575" width="10.88671875" style="226" bestFit="1" customWidth="1"/>
    <col min="2576" max="2816" width="8.88671875" style="226"/>
    <col min="2817" max="2817" width="2.6640625" style="226" customWidth="1"/>
    <col min="2818" max="2818" width="42.5546875" style="226" bestFit="1" customWidth="1"/>
    <col min="2819" max="2823" width="10.6640625" style="226" customWidth="1"/>
    <col min="2824" max="2824" width="15.88671875" style="226" customWidth="1"/>
    <col min="2825" max="2829" width="10.6640625" style="226" customWidth="1"/>
    <col min="2830" max="2830" width="8.88671875" style="226"/>
    <col min="2831" max="2831" width="10.88671875" style="226" bestFit="1" customWidth="1"/>
    <col min="2832" max="3072" width="8.88671875" style="226"/>
    <col min="3073" max="3073" width="2.6640625" style="226" customWidth="1"/>
    <col min="3074" max="3074" width="42.5546875" style="226" bestFit="1" customWidth="1"/>
    <col min="3075" max="3079" width="10.6640625" style="226" customWidth="1"/>
    <col min="3080" max="3080" width="15.88671875" style="226" customWidth="1"/>
    <col min="3081" max="3085" width="10.6640625" style="226" customWidth="1"/>
    <col min="3086" max="3086" width="8.88671875" style="226"/>
    <col min="3087" max="3087" width="10.88671875" style="226" bestFit="1" customWidth="1"/>
    <col min="3088" max="3328" width="8.88671875" style="226"/>
    <col min="3329" max="3329" width="2.6640625" style="226" customWidth="1"/>
    <col min="3330" max="3330" width="42.5546875" style="226" bestFit="1" customWidth="1"/>
    <col min="3331" max="3335" width="10.6640625" style="226" customWidth="1"/>
    <col min="3336" max="3336" width="15.88671875" style="226" customWidth="1"/>
    <col min="3337" max="3341" width="10.6640625" style="226" customWidth="1"/>
    <col min="3342" max="3342" width="8.88671875" style="226"/>
    <col min="3343" max="3343" width="10.88671875" style="226" bestFit="1" customWidth="1"/>
    <col min="3344" max="3584" width="8.88671875" style="226"/>
    <col min="3585" max="3585" width="2.6640625" style="226" customWidth="1"/>
    <col min="3586" max="3586" width="42.5546875" style="226" bestFit="1" customWidth="1"/>
    <col min="3587" max="3591" width="10.6640625" style="226" customWidth="1"/>
    <col min="3592" max="3592" width="15.88671875" style="226" customWidth="1"/>
    <col min="3593" max="3597" width="10.6640625" style="226" customWidth="1"/>
    <col min="3598" max="3598" width="8.88671875" style="226"/>
    <col min="3599" max="3599" width="10.88671875" style="226" bestFit="1" customWidth="1"/>
    <col min="3600" max="3840" width="8.88671875" style="226"/>
    <col min="3841" max="3841" width="2.6640625" style="226" customWidth="1"/>
    <col min="3842" max="3842" width="42.5546875" style="226" bestFit="1" customWidth="1"/>
    <col min="3843" max="3847" width="10.6640625" style="226" customWidth="1"/>
    <col min="3848" max="3848" width="15.88671875" style="226" customWidth="1"/>
    <col min="3849" max="3853" width="10.6640625" style="226" customWidth="1"/>
    <col min="3854" max="3854" width="8.88671875" style="226"/>
    <col min="3855" max="3855" width="10.88671875" style="226" bestFit="1" customWidth="1"/>
    <col min="3856" max="4096" width="8.88671875" style="226"/>
    <col min="4097" max="4097" width="2.6640625" style="226" customWidth="1"/>
    <col min="4098" max="4098" width="42.5546875" style="226" bestFit="1" customWidth="1"/>
    <col min="4099" max="4103" width="10.6640625" style="226" customWidth="1"/>
    <col min="4104" max="4104" width="15.88671875" style="226" customWidth="1"/>
    <col min="4105" max="4109" width="10.6640625" style="226" customWidth="1"/>
    <col min="4110" max="4110" width="8.88671875" style="226"/>
    <col min="4111" max="4111" width="10.88671875" style="226" bestFit="1" customWidth="1"/>
    <col min="4112" max="4352" width="8.88671875" style="226"/>
    <col min="4353" max="4353" width="2.6640625" style="226" customWidth="1"/>
    <col min="4354" max="4354" width="42.5546875" style="226" bestFit="1" customWidth="1"/>
    <col min="4355" max="4359" width="10.6640625" style="226" customWidth="1"/>
    <col min="4360" max="4360" width="15.88671875" style="226" customWidth="1"/>
    <col min="4361" max="4365" width="10.6640625" style="226" customWidth="1"/>
    <col min="4366" max="4366" width="8.88671875" style="226"/>
    <col min="4367" max="4367" width="10.88671875" style="226" bestFit="1" customWidth="1"/>
    <col min="4368" max="4608" width="8.88671875" style="226"/>
    <col min="4609" max="4609" width="2.6640625" style="226" customWidth="1"/>
    <col min="4610" max="4610" width="42.5546875" style="226" bestFit="1" customWidth="1"/>
    <col min="4611" max="4615" width="10.6640625" style="226" customWidth="1"/>
    <col min="4616" max="4616" width="15.88671875" style="226" customWidth="1"/>
    <col min="4617" max="4621" width="10.6640625" style="226" customWidth="1"/>
    <col min="4622" max="4622" width="8.88671875" style="226"/>
    <col min="4623" max="4623" width="10.88671875" style="226" bestFit="1" customWidth="1"/>
    <col min="4624" max="4864" width="8.88671875" style="226"/>
    <col min="4865" max="4865" width="2.6640625" style="226" customWidth="1"/>
    <col min="4866" max="4866" width="42.5546875" style="226" bestFit="1" customWidth="1"/>
    <col min="4867" max="4871" width="10.6640625" style="226" customWidth="1"/>
    <col min="4872" max="4872" width="15.88671875" style="226" customWidth="1"/>
    <col min="4873" max="4877" width="10.6640625" style="226" customWidth="1"/>
    <col min="4878" max="4878" width="8.88671875" style="226"/>
    <col min="4879" max="4879" width="10.88671875" style="226" bestFit="1" customWidth="1"/>
    <col min="4880" max="5120" width="8.88671875" style="226"/>
    <col min="5121" max="5121" width="2.6640625" style="226" customWidth="1"/>
    <col min="5122" max="5122" width="42.5546875" style="226" bestFit="1" customWidth="1"/>
    <col min="5123" max="5127" width="10.6640625" style="226" customWidth="1"/>
    <col min="5128" max="5128" width="15.88671875" style="226" customWidth="1"/>
    <col min="5129" max="5133" width="10.6640625" style="226" customWidth="1"/>
    <col min="5134" max="5134" width="8.88671875" style="226"/>
    <col min="5135" max="5135" width="10.88671875" style="226" bestFit="1" customWidth="1"/>
    <col min="5136" max="5376" width="8.88671875" style="226"/>
    <col min="5377" max="5377" width="2.6640625" style="226" customWidth="1"/>
    <col min="5378" max="5378" width="42.5546875" style="226" bestFit="1" customWidth="1"/>
    <col min="5379" max="5383" width="10.6640625" style="226" customWidth="1"/>
    <col min="5384" max="5384" width="15.88671875" style="226" customWidth="1"/>
    <col min="5385" max="5389" width="10.6640625" style="226" customWidth="1"/>
    <col min="5390" max="5390" width="8.88671875" style="226"/>
    <col min="5391" max="5391" width="10.88671875" style="226" bestFit="1" customWidth="1"/>
    <col min="5392" max="5632" width="8.88671875" style="226"/>
    <col min="5633" max="5633" width="2.6640625" style="226" customWidth="1"/>
    <col min="5634" max="5634" width="42.5546875" style="226" bestFit="1" customWidth="1"/>
    <col min="5635" max="5639" width="10.6640625" style="226" customWidth="1"/>
    <col min="5640" max="5640" width="15.88671875" style="226" customWidth="1"/>
    <col min="5641" max="5645" width="10.6640625" style="226" customWidth="1"/>
    <col min="5646" max="5646" width="8.88671875" style="226"/>
    <col min="5647" max="5647" width="10.88671875" style="226" bestFit="1" customWidth="1"/>
    <col min="5648" max="5888" width="8.88671875" style="226"/>
    <col min="5889" max="5889" width="2.6640625" style="226" customWidth="1"/>
    <col min="5890" max="5890" width="42.5546875" style="226" bestFit="1" customWidth="1"/>
    <col min="5891" max="5895" width="10.6640625" style="226" customWidth="1"/>
    <col min="5896" max="5896" width="15.88671875" style="226" customWidth="1"/>
    <col min="5897" max="5901" width="10.6640625" style="226" customWidth="1"/>
    <col min="5902" max="5902" width="8.88671875" style="226"/>
    <col min="5903" max="5903" width="10.88671875" style="226" bestFit="1" customWidth="1"/>
    <col min="5904" max="6144" width="8.88671875" style="226"/>
    <col min="6145" max="6145" width="2.6640625" style="226" customWidth="1"/>
    <col min="6146" max="6146" width="42.5546875" style="226" bestFit="1" customWidth="1"/>
    <col min="6147" max="6151" width="10.6640625" style="226" customWidth="1"/>
    <col min="6152" max="6152" width="15.88671875" style="226" customWidth="1"/>
    <col min="6153" max="6157" width="10.6640625" style="226" customWidth="1"/>
    <col min="6158" max="6158" width="8.88671875" style="226"/>
    <col min="6159" max="6159" width="10.88671875" style="226" bestFit="1" customWidth="1"/>
    <col min="6160" max="6400" width="8.88671875" style="226"/>
    <col min="6401" max="6401" width="2.6640625" style="226" customWidth="1"/>
    <col min="6402" max="6402" width="42.5546875" style="226" bestFit="1" customWidth="1"/>
    <col min="6403" max="6407" width="10.6640625" style="226" customWidth="1"/>
    <col min="6408" max="6408" width="15.88671875" style="226" customWidth="1"/>
    <col min="6409" max="6413" width="10.6640625" style="226" customWidth="1"/>
    <col min="6414" max="6414" width="8.88671875" style="226"/>
    <col min="6415" max="6415" width="10.88671875" style="226" bestFit="1" customWidth="1"/>
    <col min="6416" max="6656" width="8.88671875" style="226"/>
    <col min="6657" max="6657" width="2.6640625" style="226" customWidth="1"/>
    <col min="6658" max="6658" width="42.5546875" style="226" bestFit="1" customWidth="1"/>
    <col min="6659" max="6663" width="10.6640625" style="226" customWidth="1"/>
    <col min="6664" max="6664" width="15.88671875" style="226" customWidth="1"/>
    <col min="6665" max="6669" width="10.6640625" style="226" customWidth="1"/>
    <col min="6670" max="6670" width="8.88671875" style="226"/>
    <col min="6671" max="6671" width="10.88671875" style="226" bestFit="1" customWidth="1"/>
    <col min="6672" max="6912" width="8.88671875" style="226"/>
    <col min="6913" max="6913" width="2.6640625" style="226" customWidth="1"/>
    <col min="6914" max="6914" width="42.5546875" style="226" bestFit="1" customWidth="1"/>
    <col min="6915" max="6919" width="10.6640625" style="226" customWidth="1"/>
    <col min="6920" max="6920" width="15.88671875" style="226" customWidth="1"/>
    <col min="6921" max="6925" width="10.6640625" style="226" customWidth="1"/>
    <col min="6926" max="6926" width="8.88671875" style="226"/>
    <col min="6927" max="6927" width="10.88671875" style="226" bestFit="1" customWidth="1"/>
    <col min="6928" max="7168" width="8.88671875" style="226"/>
    <col min="7169" max="7169" width="2.6640625" style="226" customWidth="1"/>
    <col min="7170" max="7170" width="42.5546875" style="226" bestFit="1" customWidth="1"/>
    <col min="7171" max="7175" width="10.6640625" style="226" customWidth="1"/>
    <col min="7176" max="7176" width="15.88671875" style="226" customWidth="1"/>
    <col min="7177" max="7181" width="10.6640625" style="226" customWidth="1"/>
    <col min="7182" max="7182" width="8.88671875" style="226"/>
    <col min="7183" max="7183" width="10.88671875" style="226" bestFit="1" customWidth="1"/>
    <col min="7184" max="7424" width="8.88671875" style="226"/>
    <col min="7425" max="7425" width="2.6640625" style="226" customWidth="1"/>
    <col min="7426" max="7426" width="42.5546875" style="226" bestFit="1" customWidth="1"/>
    <col min="7427" max="7431" width="10.6640625" style="226" customWidth="1"/>
    <col min="7432" max="7432" width="15.88671875" style="226" customWidth="1"/>
    <col min="7433" max="7437" width="10.6640625" style="226" customWidth="1"/>
    <col min="7438" max="7438" width="8.88671875" style="226"/>
    <col min="7439" max="7439" width="10.88671875" style="226" bestFit="1" customWidth="1"/>
    <col min="7440" max="7680" width="8.88671875" style="226"/>
    <col min="7681" max="7681" width="2.6640625" style="226" customWidth="1"/>
    <col min="7682" max="7682" width="42.5546875" style="226" bestFit="1" customWidth="1"/>
    <col min="7683" max="7687" width="10.6640625" style="226" customWidth="1"/>
    <col min="7688" max="7688" width="15.88671875" style="226" customWidth="1"/>
    <col min="7689" max="7693" width="10.6640625" style="226" customWidth="1"/>
    <col min="7694" max="7694" width="8.88671875" style="226"/>
    <col min="7695" max="7695" width="10.88671875" style="226" bestFit="1" customWidth="1"/>
    <col min="7696" max="7936" width="8.88671875" style="226"/>
    <col min="7937" max="7937" width="2.6640625" style="226" customWidth="1"/>
    <col min="7938" max="7938" width="42.5546875" style="226" bestFit="1" customWidth="1"/>
    <col min="7939" max="7943" width="10.6640625" style="226" customWidth="1"/>
    <col min="7944" max="7944" width="15.88671875" style="226" customWidth="1"/>
    <col min="7945" max="7949" width="10.6640625" style="226" customWidth="1"/>
    <col min="7950" max="7950" width="8.88671875" style="226"/>
    <col min="7951" max="7951" width="10.88671875" style="226" bestFit="1" customWidth="1"/>
    <col min="7952" max="8192" width="8.88671875" style="226"/>
    <col min="8193" max="8193" width="2.6640625" style="226" customWidth="1"/>
    <col min="8194" max="8194" width="42.5546875" style="226" bestFit="1" customWidth="1"/>
    <col min="8195" max="8199" width="10.6640625" style="226" customWidth="1"/>
    <col min="8200" max="8200" width="15.88671875" style="226" customWidth="1"/>
    <col min="8201" max="8205" width="10.6640625" style="226" customWidth="1"/>
    <col min="8206" max="8206" width="8.88671875" style="226"/>
    <col min="8207" max="8207" width="10.88671875" style="226" bestFit="1" customWidth="1"/>
    <col min="8208" max="8448" width="8.88671875" style="226"/>
    <col min="8449" max="8449" width="2.6640625" style="226" customWidth="1"/>
    <col min="8450" max="8450" width="42.5546875" style="226" bestFit="1" customWidth="1"/>
    <col min="8451" max="8455" width="10.6640625" style="226" customWidth="1"/>
    <col min="8456" max="8456" width="15.88671875" style="226" customWidth="1"/>
    <col min="8457" max="8461" width="10.6640625" style="226" customWidth="1"/>
    <col min="8462" max="8462" width="8.88671875" style="226"/>
    <col min="8463" max="8463" width="10.88671875" style="226" bestFit="1" customWidth="1"/>
    <col min="8464" max="8704" width="8.88671875" style="226"/>
    <col min="8705" max="8705" width="2.6640625" style="226" customWidth="1"/>
    <col min="8706" max="8706" width="42.5546875" style="226" bestFit="1" customWidth="1"/>
    <col min="8707" max="8711" width="10.6640625" style="226" customWidth="1"/>
    <col min="8712" max="8712" width="15.88671875" style="226" customWidth="1"/>
    <col min="8713" max="8717" width="10.6640625" style="226" customWidth="1"/>
    <col min="8718" max="8718" width="8.88671875" style="226"/>
    <col min="8719" max="8719" width="10.88671875" style="226" bestFit="1" customWidth="1"/>
    <col min="8720" max="8960" width="8.88671875" style="226"/>
    <col min="8961" max="8961" width="2.6640625" style="226" customWidth="1"/>
    <col min="8962" max="8962" width="42.5546875" style="226" bestFit="1" customWidth="1"/>
    <col min="8963" max="8967" width="10.6640625" style="226" customWidth="1"/>
    <col min="8968" max="8968" width="15.88671875" style="226" customWidth="1"/>
    <col min="8969" max="8973" width="10.6640625" style="226" customWidth="1"/>
    <col min="8974" max="8974" width="8.88671875" style="226"/>
    <col min="8975" max="8975" width="10.88671875" style="226" bestFit="1" customWidth="1"/>
    <col min="8976" max="9216" width="8.88671875" style="226"/>
    <col min="9217" max="9217" width="2.6640625" style="226" customWidth="1"/>
    <col min="9218" max="9218" width="42.5546875" style="226" bestFit="1" customWidth="1"/>
    <col min="9219" max="9223" width="10.6640625" style="226" customWidth="1"/>
    <col min="9224" max="9224" width="15.88671875" style="226" customWidth="1"/>
    <col min="9225" max="9229" width="10.6640625" style="226" customWidth="1"/>
    <col min="9230" max="9230" width="8.88671875" style="226"/>
    <col min="9231" max="9231" width="10.88671875" style="226" bestFit="1" customWidth="1"/>
    <col min="9232" max="9472" width="8.88671875" style="226"/>
    <col min="9473" max="9473" width="2.6640625" style="226" customWidth="1"/>
    <col min="9474" max="9474" width="42.5546875" style="226" bestFit="1" customWidth="1"/>
    <col min="9475" max="9479" width="10.6640625" style="226" customWidth="1"/>
    <col min="9480" max="9480" width="15.88671875" style="226" customWidth="1"/>
    <col min="9481" max="9485" width="10.6640625" style="226" customWidth="1"/>
    <col min="9486" max="9486" width="8.88671875" style="226"/>
    <col min="9487" max="9487" width="10.88671875" style="226" bestFit="1" customWidth="1"/>
    <col min="9488" max="9728" width="8.88671875" style="226"/>
    <col min="9729" max="9729" width="2.6640625" style="226" customWidth="1"/>
    <col min="9730" max="9730" width="42.5546875" style="226" bestFit="1" customWidth="1"/>
    <col min="9731" max="9735" width="10.6640625" style="226" customWidth="1"/>
    <col min="9736" max="9736" width="15.88671875" style="226" customWidth="1"/>
    <col min="9737" max="9741" width="10.6640625" style="226" customWidth="1"/>
    <col min="9742" max="9742" width="8.88671875" style="226"/>
    <col min="9743" max="9743" width="10.88671875" style="226" bestFit="1" customWidth="1"/>
    <col min="9744" max="9984" width="8.88671875" style="226"/>
    <col min="9985" max="9985" width="2.6640625" style="226" customWidth="1"/>
    <col min="9986" max="9986" width="42.5546875" style="226" bestFit="1" customWidth="1"/>
    <col min="9987" max="9991" width="10.6640625" style="226" customWidth="1"/>
    <col min="9992" max="9992" width="15.88671875" style="226" customWidth="1"/>
    <col min="9993" max="9997" width="10.6640625" style="226" customWidth="1"/>
    <col min="9998" max="9998" width="8.88671875" style="226"/>
    <col min="9999" max="9999" width="10.88671875" style="226" bestFit="1" customWidth="1"/>
    <col min="10000" max="10240" width="8.88671875" style="226"/>
    <col min="10241" max="10241" width="2.6640625" style="226" customWidth="1"/>
    <col min="10242" max="10242" width="42.5546875" style="226" bestFit="1" customWidth="1"/>
    <col min="10243" max="10247" width="10.6640625" style="226" customWidth="1"/>
    <col min="10248" max="10248" width="15.88671875" style="226" customWidth="1"/>
    <col min="10249" max="10253" width="10.6640625" style="226" customWidth="1"/>
    <col min="10254" max="10254" width="8.88671875" style="226"/>
    <col min="10255" max="10255" width="10.88671875" style="226" bestFit="1" customWidth="1"/>
    <col min="10256" max="10496" width="8.88671875" style="226"/>
    <col min="10497" max="10497" width="2.6640625" style="226" customWidth="1"/>
    <col min="10498" max="10498" width="42.5546875" style="226" bestFit="1" customWidth="1"/>
    <col min="10499" max="10503" width="10.6640625" style="226" customWidth="1"/>
    <col min="10504" max="10504" width="15.88671875" style="226" customWidth="1"/>
    <col min="10505" max="10509" width="10.6640625" style="226" customWidth="1"/>
    <col min="10510" max="10510" width="8.88671875" style="226"/>
    <col min="10511" max="10511" width="10.88671875" style="226" bestFit="1" customWidth="1"/>
    <col min="10512" max="10752" width="8.88671875" style="226"/>
    <col min="10753" max="10753" width="2.6640625" style="226" customWidth="1"/>
    <col min="10754" max="10754" width="42.5546875" style="226" bestFit="1" customWidth="1"/>
    <col min="10755" max="10759" width="10.6640625" style="226" customWidth="1"/>
    <col min="10760" max="10760" width="15.88671875" style="226" customWidth="1"/>
    <col min="10761" max="10765" width="10.6640625" style="226" customWidth="1"/>
    <col min="10766" max="10766" width="8.88671875" style="226"/>
    <col min="10767" max="10767" width="10.88671875" style="226" bestFit="1" customWidth="1"/>
    <col min="10768" max="11008" width="8.88671875" style="226"/>
    <col min="11009" max="11009" width="2.6640625" style="226" customWidth="1"/>
    <col min="11010" max="11010" width="42.5546875" style="226" bestFit="1" customWidth="1"/>
    <col min="11011" max="11015" width="10.6640625" style="226" customWidth="1"/>
    <col min="11016" max="11016" width="15.88671875" style="226" customWidth="1"/>
    <col min="11017" max="11021" width="10.6640625" style="226" customWidth="1"/>
    <col min="11022" max="11022" width="8.88671875" style="226"/>
    <col min="11023" max="11023" width="10.88671875" style="226" bestFit="1" customWidth="1"/>
    <col min="11024" max="11264" width="8.88671875" style="226"/>
    <col min="11265" max="11265" width="2.6640625" style="226" customWidth="1"/>
    <col min="11266" max="11266" width="42.5546875" style="226" bestFit="1" customWidth="1"/>
    <col min="11267" max="11271" width="10.6640625" style="226" customWidth="1"/>
    <col min="11272" max="11272" width="15.88671875" style="226" customWidth="1"/>
    <col min="11273" max="11277" width="10.6640625" style="226" customWidth="1"/>
    <col min="11278" max="11278" width="8.88671875" style="226"/>
    <col min="11279" max="11279" width="10.88671875" style="226" bestFit="1" customWidth="1"/>
    <col min="11280" max="11520" width="8.88671875" style="226"/>
    <col min="11521" max="11521" width="2.6640625" style="226" customWidth="1"/>
    <col min="11522" max="11522" width="42.5546875" style="226" bestFit="1" customWidth="1"/>
    <col min="11523" max="11527" width="10.6640625" style="226" customWidth="1"/>
    <col min="11528" max="11528" width="15.88671875" style="226" customWidth="1"/>
    <col min="11529" max="11533" width="10.6640625" style="226" customWidth="1"/>
    <col min="11534" max="11534" width="8.88671875" style="226"/>
    <col min="11535" max="11535" width="10.88671875" style="226" bestFit="1" customWidth="1"/>
    <col min="11536" max="11776" width="8.88671875" style="226"/>
    <col min="11777" max="11777" width="2.6640625" style="226" customWidth="1"/>
    <col min="11778" max="11778" width="42.5546875" style="226" bestFit="1" customWidth="1"/>
    <col min="11779" max="11783" width="10.6640625" style="226" customWidth="1"/>
    <col min="11784" max="11784" width="15.88671875" style="226" customWidth="1"/>
    <col min="11785" max="11789" width="10.6640625" style="226" customWidth="1"/>
    <col min="11790" max="11790" width="8.88671875" style="226"/>
    <col min="11791" max="11791" width="10.88671875" style="226" bestFit="1" customWidth="1"/>
    <col min="11792" max="12032" width="8.88671875" style="226"/>
    <col min="12033" max="12033" width="2.6640625" style="226" customWidth="1"/>
    <col min="12034" max="12034" width="42.5546875" style="226" bestFit="1" customWidth="1"/>
    <col min="12035" max="12039" width="10.6640625" style="226" customWidth="1"/>
    <col min="12040" max="12040" width="15.88671875" style="226" customWidth="1"/>
    <col min="12041" max="12045" width="10.6640625" style="226" customWidth="1"/>
    <col min="12046" max="12046" width="8.88671875" style="226"/>
    <col min="12047" max="12047" width="10.88671875" style="226" bestFit="1" customWidth="1"/>
    <col min="12048" max="12288" width="8.88671875" style="226"/>
    <col min="12289" max="12289" width="2.6640625" style="226" customWidth="1"/>
    <col min="12290" max="12290" width="42.5546875" style="226" bestFit="1" customWidth="1"/>
    <col min="12291" max="12295" width="10.6640625" style="226" customWidth="1"/>
    <col min="12296" max="12296" width="15.88671875" style="226" customWidth="1"/>
    <col min="12297" max="12301" width="10.6640625" style="226" customWidth="1"/>
    <col min="12302" max="12302" width="8.88671875" style="226"/>
    <col min="12303" max="12303" width="10.88671875" style="226" bestFit="1" customWidth="1"/>
    <col min="12304" max="12544" width="8.88671875" style="226"/>
    <col min="12545" max="12545" width="2.6640625" style="226" customWidth="1"/>
    <col min="12546" max="12546" width="42.5546875" style="226" bestFit="1" customWidth="1"/>
    <col min="12547" max="12551" width="10.6640625" style="226" customWidth="1"/>
    <col min="12552" max="12552" width="15.88671875" style="226" customWidth="1"/>
    <col min="12553" max="12557" width="10.6640625" style="226" customWidth="1"/>
    <col min="12558" max="12558" width="8.88671875" style="226"/>
    <col min="12559" max="12559" width="10.88671875" style="226" bestFit="1" customWidth="1"/>
    <col min="12560" max="12800" width="8.88671875" style="226"/>
    <col min="12801" max="12801" width="2.6640625" style="226" customWidth="1"/>
    <col min="12802" max="12802" width="42.5546875" style="226" bestFit="1" customWidth="1"/>
    <col min="12803" max="12807" width="10.6640625" style="226" customWidth="1"/>
    <col min="12808" max="12808" width="15.88671875" style="226" customWidth="1"/>
    <col min="12809" max="12813" width="10.6640625" style="226" customWidth="1"/>
    <col min="12814" max="12814" width="8.88671875" style="226"/>
    <col min="12815" max="12815" width="10.88671875" style="226" bestFit="1" customWidth="1"/>
    <col min="12816" max="13056" width="8.88671875" style="226"/>
    <col min="13057" max="13057" width="2.6640625" style="226" customWidth="1"/>
    <col min="13058" max="13058" width="42.5546875" style="226" bestFit="1" customWidth="1"/>
    <col min="13059" max="13063" width="10.6640625" style="226" customWidth="1"/>
    <col min="13064" max="13064" width="15.88671875" style="226" customWidth="1"/>
    <col min="13065" max="13069" width="10.6640625" style="226" customWidth="1"/>
    <col min="13070" max="13070" width="8.88671875" style="226"/>
    <col min="13071" max="13071" width="10.88671875" style="226" bestFit="1" customWidth="1"/>
    <col min="13072" max="13312" width="8.88671875" style="226"/>
    <col min="13313" max="13313" width="2.6640625" style="226" customWidth="1"/>
    <col min="13314" max="13314" width="42.5546875" style="226" bestFit="1" customWidth="1"/>
    <col min="13315" max="13319" width="10.6640625" style="226" customWidth="1"/>
    <col min="13320" max="13320" width="15.88671875" style="226" customWidth="1"/>
    <col min="13321" max="13325" width="10.6640625" style="226" customWidth="1"/>
    <col min="13326" max="13326" width="8.88671875" style="226"/>
    <col min="13327" max="13327" width="10.88671875" style="226" bestFit="1" customWidth="1"/>
    <col min="13328" max="13568" width="8.88671875" style="226"/>
    <col min="13569" max="13569" width="2.6640625" style="226" customWidth="1"/>
    <col min="13570" max="13570" width="42.5546875" style="226" bestFit="1" customWidth="1"/>
    <col min="13571" max="13575" width="10.6640625" style="226" customWidth="1"/>
    <col min="13576" max="13576" width="15.88671875" style="226" customWidth="1"/>
    <col min="13577" max="13581" width="10.6640625" style="226" customWidth="1"/>
    <col min="13582" max="13582" width="8.88671875" style="226"/>
    <col min="13583" max="13583" width="10.88671875" style="226" bestFit="1" customWidth="1"/>
    <col min="13584" max="13824" width="8.88671875" style="226"/>
    <col min="13825" max="13825" width="2.6640625" style="226" customWidth="1"/>
    <col min="13826" max="13826" width="42.5546875" style="226" bestFit="1" customWidth="1"/>
    <col min="13827" max="13831" width="10.6640625" style="226" customWidth="1"/>
    <col min="13832" max="13832" width="15.88671875" style="226" customWidth="1"/>
    <col min="13833" max="13837" width="10.6640625" style="226" customWidth="1"/>
    <col min="13838" max="13838" width="8.88671875" style="226"/>
    <col min="13839" max="13839" width="10.88671875" style="226" bestFit="1" customWidth="1"/>
    <col min="13840" max="14080" width="8.88671875" style="226"/>
    <col min="14081" max="14081" width="2.6640625" style="226" customWidth="1"/>
    <col min="14082" max="14082" width="42.5546875" style="226" bestFit="1" customWidth="1"/>
    <col min="14083" max="14087" width="10.6640625" style="226" customWidth="1"/>
    <col min="14088" max="14088" width="15.88671875" style="226" customWidth="1"/>
    <col min="14089" max="14093" width="10.6640625" style="226" customWidth="1"/>
    <col min="14094" max="14094" width="8.88671875" style="226"/>
    <col min="14095" max="14095" width="10.88671875" style="226" bestFit="1" customWidth="1"/>
    <col min="14096" max="14336" width="8.88671875" style="226"/>
    <col min="14337" max="14337" width="2.6640625" style="226" customWidth="1"/>
    <col min="14338" max="14338" width="42.5546875" style="226" bestFit="1" customWidth="1"/>
    <col min="14339" max="14343" width="10.6640625" style="226" customWidth="1"/>
    <col min="14344" max="14344" width="15.88671875" style="226" customWidth="1"/>
    <col min="14345" max="14349" width="10.6640625" style="226" customWidth="1"/>
    <col min="14350" max="14350" width="8.88671875" style="226"/>
    <col min="14351" max="14351" width="10.88671875" style="226" bestFit="1" customWidth="1"/>
    <col min="14352" max="14592" width="8.88671875" style="226"/>
    <col min="14593" max="14593" width="2.6640625" style="226" customWidth="1"/>
    <col min="14594" max="14594" width="42.5546875" style="226" bestFit="1" customWidth="1"/>
    <col min="14595" max="14599" width="10.6640625" style="226" customWidth="1"/>
    <col min="14600" max="14600" width="15.88671875" style="226" customWidth="1"/>
    <col min="14601" max="14605" width="10.6640625" style="226" customWidth="1"/>
    <col min="14606" max="14606" width="8.88671875" style="226"/>
    <col min="14607" max="14607" width="10.88671875" style="226" bestFit="1" customWidth="1"/>
    <col min="14608" max="14848" width="8.88671875" style="226"/>
    <col min="14849" max="14849" width="2.6640625" style="226" customWidth="1"/>
    <col min="14850" max="14850" width="42.5546875" style="226" bestFit="1" customWidth="1"/>
    <col min="14851" max="14855" width="10.6640625" style="226" customWidth="1"/>
    <col min="14856" max="14856" width="15.88671875" style="226" customWidth="1"/>
    <col min="14857" max="14861" width="10.6640625" style="226" customWidth="1"/>
    <col min="14862" max="14862" width="8.88671875" style="226"/>
    <col min="14863" max="14863" width="10.88671875" style="226" bestFit="1" customWidth="1"/>
    <col min="14864" max="15104" width="8.88671875" style="226"/>
    <col min="15105" max="15105" width="2.6640625" style="226" customWidth="1"/>
    <col min="15106" max="15106" width="42.5546875" style="226" bestFit="1" customWidth="1"/>
    <col min="15107" max="15111" width="10.6640625" style="226" customWidth="1"/>
    <col min="15112" max="15112" width="15.88671875" style="226" customWidth="1"/>
    <col min="15113" max="15117" width="10.6640625" style="226" customWidth="1"/>
    <col min="15118" max="15118" width="8.88671875" style="226"/>
    <col min="15119" max="15119" width="10.88671875" style="226" bestFit="1" customWidth="1"/>
    <col min="15120" max="15360" width="8.88671875" style="226"/>
    <col min="15361" max="15361" width="2.6640625" style="226" customWidth="1"/>
    <col min="15362" max="15362" width="42.5546875" style="226" bestFit="1" customWidth="1"/>
    <col min="15363" max="15367" width="10.6640625" style="226" customWidth="1"/>
    <col min="15368" max="15368" width="15.88671875" style="226" customWidth="1"/>
    <col min="15369" max="15373" width="10.6640625" style="226" customWidth="1"/>
    <col min="15374" max="15374" width="8.88671875" style="226"/>
    <col min="15375" max="15375" width="10.88671875" style="226" bestFit="1" customWidth="1"/>
    <col min="15376" max="15616" width="8.88671875" style="226"/>
    <col min="15617" max="15617" width="2.6640625" style="226" customWidth="1"/>
    <col min="15618" max="15618" width="42.5546875" style="226" bestFit="1" customWidth="1"/>
    <col min="15619" max="15623" width="10.6640625" style="226" customWidth="1"/>
    <col min="15624" max="15624" width="15.88671875" style="226" customWidth="1"/>
    <col min="15625" max="15629" width="10.6640625" style="226" customWidth="1"/>
    <col min="15630" max="15630" width="8.88671875" style="226"/>
    <col min="15631" max="15631" width="10.88671875" style="226" bestFit="1" customWidth="1"/>
    <col min="15632" max="15872" width="8.88671875" style="226"/>
    <col min="15873" max="15873" width="2.6640625" style="226" customWidth="1"/>
    <col min="15874" max="15874" width="42.5546875" style="226" bestFit="1" customWidth="1"/>
    <col min="15875" max="15879" width="10.6640625" style="226" customWidth="1"/>
    <col min="15880" max="15880" width="15.88671875" style="226" customWidth="1"/>
    <col min="15881" max="15885" width="10.6640625" style="226" customWidth="1"/>
    <col min="15886" max="15886" width="8.88671875" style="226"/>
    <col min="15887" max="15887" width="10.88671875" style="226" bestFit="1" customWidth="1"/>
    <col min="15888" max="16128" width="8.88671875" style="226"/>
    <col min="16129" max="16129" width="2.6640625" style="226" customWidth="1"/>
    <col min="16130" max="16130" width="42.5546875" style="226" bestFit="1" customWidth="1"/>
    <col min="16131" max="16135" width="10.6640625" style="226" customWidth="1"/>
    <col min="16136" max="16136" width="15.88671875" style="226" customWidth="1"/>
    <col min="16137" max="16141" width="10.6640625" style="226" customWidth="1"/>
    <col min="16142" max="16142" width="8.88671875" style="226"/>
    <col min="16143" max="16143" width="10.88671875" style="226" bestFit="1" customWidth="1"/>
    <col min="16144" max="16384" width="8.88671875" style="226"/>
  </cols>
  <sheetData>
    <row r="2" spans="2:18" ht="18">
      <c r="B2" s="3" t="str">
        <f>"Valuation Summary - "&amp;TEXT(Company_Name,"")&amp;" - "&amp;Scenario&amp;" Case"</f>
        <v>Valuation Summary - AeroVironment, Inc.  - Base Case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</row>
    <row r="3" spans="2:18">
      <c r="B3" s="292" t="s">
        <v>194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</row>
    <row r="5" spans="2:18">
      <c r="B5" s="112" t="str">
        <f>"Valuation Statistics - "&amp;TEXT(Company_Name,"")</f>
        <v xml:space="preserve">Valuation Statistics - AeroVironment, Inc. </v>
      </c>
      <c r="C5" s="141" t="s">
        <v>195</v>
      </c>
      <c r="D5" s="141"/>
      <c r="E5" s="141"/>
      <c r="F5" s="142"/>
      <c r="G5" s="142"/>
      <c r="H5" s="142"/>
      <c r="I5" s="141" t="s">
        <v>196</v>
      </c>
      <c r="J5" s="142"/>
      <c r="K5" s="142"/>
      <c r="L5" s="142"/>
      <c r="M5" s="142"/>
      <c r="N5" s="339"/>
      <c r="O5" s="339"/>
      <c r="P5" s="339"/>
      <c r="Q5" s="339"/>
      <c r="R5" s="339"/>
    </row>
    <row r="6" spans="2:18">
      <c r="B6" s="143"/>
      <c r="C6" s="113"/>
      <c r="D6" s="141"/>
      <c r="E6" s="141"/>
      <c r="F6" s="142"/>
      <c r="G6" s="141"/>
      <c r="H6" s="141"/>
      <c r="I6" s="141"/>
      <c r="J6" s="141"/>
      <c r="K6" s="141"/>
      <c r="L6" s="141"/>
      <c r="M6" s="141"/>
      <c r="N6" s="339"/>
      <c r="O6" s="339"/>
      <c r="P6" s="339"/>
      <c r="Q6" s="339"/>
      <c r="R6" s="339"/>
    </row>
    <row r="7" spans="2:18">
      <c r="B7" s="143"/>
      <c r="C7" s="113"/>
      <c r="D7" s="113" t="s">
        <v>187</v>
      </c>
      <c r="E7" s="113"/>
      <c r="F7" s="113" t="s">
        <v>185</v>
      </c>
      <c r="G7" s="141"/>
      <c r="H7" s="113" t="s">
        <v>197</v>
      </c>
      <c r="I7" s="113"/>
      <c r="J7" s="113" t="s">
        <v>185</v>
      </c>
      <c r="K7" s="113"/>
      <c r="L7" s="113" t="s">
        <v>187</v>
      </c>
      <c r="M7" s="113"/>
      <c r="N7" s="339"/>
      <c r="O7" s="339"/>
      <c r="P7" s="339"/>
      <c r="Q7" s="339"/>
      <c r="R7" s="339"/>
    </row>
    <row r="8" spans="2:18">
      <c r="B8" s="143"/>
      <c r="C8" s="113" t="s">
        <v>198</v>
      </c>
      <c r="D8" s="113" t="s">
        <v>199</v>
      </c>
      <c r="E8" s="113" t="s">
        <v>186</v>
      </c>
      <c r="F8" s="113" t="s">
        <v>199</v>
      </c>
      <c r="G8" s="113" t="s">
        <v>200</v>
      </c>
      <c r="H8" s="113" t="s">
        <v>201</v>
      </c>
      <c r="I8" s="113" t="s">
        <v>200</v>
      </c>
      <c r="J8" s="113" t="s">
        <v>199</v>
      </c>
      <c r="K8" s="113" t="s">
        <v>186</v>
      </c>
      <c r="L8" s="113" t="s">
        <v>199</v>
      </c>
      <c r="M8" s="113" t="s">
        <v>198</v>
      </c>
      <c r="N8" s="339"/>
      <c r="O8" s="339"/>
      <c r="P8" s="339"/>
      <c r="Q8" s="339"/>
      <c r="R8" s="339"/>
    </row>
    <row r="9" spans="2:18">
      <c r="B9" s="114" t="s">
        <v>202</v>
      </c>
      <c r="C9" s="487" t="s">
        <v>203</v>
      </c>
      <c r="D9" s="487" t="s">
        <v>203</v>
      </c>
      <c r="E9" s="487" t="s">
        <v>203</v>
      </c>
      <c r="F9" s="487" t="s">
        <v>203</v>
      </c>
      <c r="G9" s="487" t="s">
        <v>203</v>
      </c>
      <c r="H9" s="487" t="s">
        <v>204</v>
      </c>
      <c r="I9" s="487" t="s">
        <v>203</v>
      </c>
      <c r="J9" s="487" t="s">
        <v>203</v>
      </c>
      <c r="K9" s="487" t="s">
        <v>203</v>
      </c>
      <c r="L9" s="487" t="s">
        <v>203</v>
      </c>
      <c r="M9" s="487" t="s">
        <v>203</v>
      </c>
      <c r="N9" s="339"/>
      <c r="O9" s="339"/>
      <c r="P9" s="339"/>
      <c r="Q9" s="339"/>
      <c r="R9" s="339"/>
    </row>
    <row r="10" spans="2:18"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339"/>
      <c r="O10" s="339"/>
      <c r="P10" s="339"/>
      <c r="Q10" s="339"/>
      <c r="R10" s="339"/>
    </row>
    <row r="11" spans="2:18">
      <c r="B11" s="65" t="s">
        <v>205</v>
      </c>
      <c r="C11" s="227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339"/>
      <c r="O11" s="339"/>
      <c r="P11" s="339"/>
      <c r="Q11" s="339"/>
      <c r="R11" s="339"/>
    </row>
    <row r="12" spans="2:18">
      <c r="B12" s="63" t="str">
        <f>TEXT(LTM,"mm/dd/yyyy")&amp;" EV / Revenue:"</f>
        <v>LTM EV / Revenue:</v>
      </c>
      <c r="C12" s="228" cm="1">
        <f t="array" ref="C12:G12">TRANSPOSE('Public Comps'!G43:G47)</f>
        <v>9.7665369649805456</v>
      </c>
      <c r="D12" s="228">
        <v>5.8399052083374441</v>
      </c>
      <c r="E12" s="228">
        <v>3.1227468895850814</v>
      </c>
      <c r="F12" s="228">
        <v>1.5048835365030153</v>
      </c>
      <c r="G12" s="228">
        <v>1.2088220833040668</v>
      </c>
      <c r="H12" s="229" cm="1">
        <f t="array" ref="H12:H14">TRANSPOSE('Public Comps'!G26:I26)</f>
        <v>2212.5549999999998</v>
      </c>
      <c r="I12" s="145">
        <f>((H12*$G12)+$E$31)/$E$33</f>
        <v>96.939364682062418</v>
      </c>
      <c r="J12" s="145">
        <f>(($H12*F12)+$E$31)/$E$33</f>
        <v>109.09193732449596</v>
      </c>
      <c r="K12" s="145">
        <f>(($H12*E12)+$E$31)/$E$33</f>
        <v>175.50112944127207</v>
      </c>
      <c r="L12" s="145">
        <f>(($H12*D12)+$E$31)/$E$33</f>
        <v>287.03359505894718</v>
      </c>
      <c r="M12" s="145">
        <f>(($H12*C12)+$E$31)/$E$33</f>
        <v>448.21188134745466</v>
      </c>
      <c r="N12" s="339"/>
      <c r="O12" s="339"/>
      <c r="P12" s="339"/>
      <c r="Q12" s="339"/>
      <c r="R12" s="340"/>
    </row>
    <row r="13" spans="2:18">
      <c r="B13" s="63" t="str">
        <f>TEXT(LTM,"mm/dd/yyyy")&amp;" EV / EBITDA:"</f>
        <v>LTM EV / EBITDA:</v>
      </c>
      <c r="C13" s="228" cm="1">
        <f t="array" ref="C13:G13">TRANSPOSE('Public Comps'!H43:H47)</f>
        <v>141.01123595505618</v>
      </c>
      <c r="D13" s="228">
        <v>29.955533596837945</v>
      </c>
      <c r="E13" s="228">
        <v>25.066072658402206</v>
      </c>
      <c r="F13" s="228">
        <v>14.750854283929028</v>
      </c>
      <c r="G13" s="228">
        <v>-3.7822239322816467</v>
      </c>
      <c r="H13" s="230">
        <v>261.298</v>
      </c>
      <c r="I13" s="145">
        <v>0</v>
      </c>
      <c r="J13" s="145">
        <f>(($H13*F13)+$E$31)/$E$33</f>
        <v>118.82678394734231</v>
      </c>
      <c r="K13" s="145">
        <f>(($H13*E13)+$E$31)/$E$33</f>
        <v>168.83101993244085</v>
      </c>
      <c r="L13" s="145">
        <f>(($H13*D13)+$E$31)/$E$33</f>
        <v>192.53325770672828</v>
      </c>
      <c r="M13" s="145">
        <f>(($H13*C13)+$E$31)/$E$33</f>
        <v>730.88885490413873</v>
      </c>
      <c r="N13" s="339"/>
      <c r="O13" s="339"/>
      <c r="P13" s="339"/>
      <c r="Q13" s="339"/>
      <c r="R13" s="339"/>
    </row>
    <row r="14" spans="2:18">
      <c r="B14" s="60"/>
      <c r="C14" s="127"/>
      <c r="D14" s="60"/>
      <c r="E14" s="127"/>
      <c r="F14" s="60"/>
      <c r="G14" s="60"/>
      <c r="H14" s="453">
        <v>-69.563000000000002</v>
      </c>
      <c r="I14" s="60"/>
      <c r="J14" s="60"/>
      <c r="K14" s="60"/>
      <c r="L14" s="60"/>
      <c r="M14" s="60"/>
      <c r="N14" s="339"/>
      <c r="O14" s="339"/>
      <c r="P14" s="339"/>
      <c r="Q14" s="339"/>
      <c r="R14" s="339"/>
    </row>
    <row r="15" spans="2:18">
      <c r="B15" s="65" t="s">
        <v>206</v>
      </c>
      <c r="C15" s="127"/>
      <c r="D15" s="60"/>
      <c r="E15" s="127"/>
      <c r="F15" s="60"/>
      <c r="G15" s="60"/>
      <c r="H15" s="60"/>
      <c r="I15" s="60"/>
      <c r="J15" s="60"/>
      <c r="K15" s="60"/>
      <c r="L15" s="60"/>
      <c r="M15" s="60"/>
      <c r="N15" s="339"/>
      <c r="O15" s="339"/>
      <c r="P15" s="339"/>
      <c r="Q15" s="339"/>
      <c r="R15" s="339"/>
    </row>
    <row r="16" spans="2:18">
      <c r="B16" s="63" t="str">
        <f>TEXT(LTM,"mm/dd/yyyy")&amp;" EV / Revenue:"</f>
        <v>LTM EV / Revenue:</v>
      </c>
      <c r="C16" s="228" cm="1">
        <f t="array" ref="C16:G16">TRANSPOSE('MA-Comps'!H21:H25)</f>
        <v>20</v>
      </c>
      <c r="D16" s="231">
        <v>3.7651412637363122</v>
      </c>
      <c r="E16" s="228">
        <v>2.2632082481887421</v>
      </c>
      <c r="F16" s="228">
        <v>1.6250282103362672</v>
      </c>
      <c r="G16" s="228">
        <v>1.3029518062944982</v>
      </c>
      <c r="H16" s="229" cm="1">
        <f t="array" ref="H16:H18">TRANSPOSE('Public Comps'!G26:I26)</f>
        <v>2212.5549999999998</v>
      </c>
      <c r="I16" s="145">
        <f>((H16*$G16)+$E$31)/$E$33</f>
        <v>100.80315135234086</v>
      </c>
      <c r="J16" s="145">
        <f>(($H16*F16)+$E$31)/$E$33</f>
        <v>114.02357182329351</v>
      </c>
      <c r="K16" s="145">
        <f>(($H16*E16)+$E$31)/$E$33</f>
        <v>140.21924567801042</v>
      </c>
      <c r="L16" s="145">
        <f>(($H16*D16)+$E$31)/$E$33</f>
        <v>201.86979112489038</v>
      </c>
      <c r="M16" s="145">
        <f>(($H16*C16)+$E$31)/$E$33</f>
        <v>868.26961454098318</v>
      </c>
      <c r="N16" s="232"/>
      <c r="O16" s="339"/>
      <c r="P16" s="339"/>
      <c r="Q16" s="339"/>
      <c r="R16" s="339"/>
    </row>
    <row r="17" spans="2:15">
      <c r="B17" s="63" t="str">
        <f>TEXT(LTM,"mm/dd/yyyy")&amp;" EV / EBITDA:"</f>
        <v>LTM EV / EBITDA:</v>
      </c>
      <c r="C17" s="228" cm="1">
        <f t="array" ref="C17:G17">TRANSPOSE('MA-Comps'!I21:I25)</f>
        <v>163.20356659501633</v>
      </c>
      <c r="D17" s="228">
        <v>15.535714285714286</v>
      </c>
      <c r="E17" s="228">
        <v>14</v>
      </c>
      <c r="F17" s="228">
        <v>9.9952560511509319</v>
      </c>
      <c r="G17" s="228">
        <v>-10.80802882141019</v>
      </c>
      <c r="H17" s="230">
        <v>261.298</v>
      </c>
      <c r="I17" s="145">
        <f>((H17*$G17)+$E$31)/$E$33</f>
        <v>-5.0729122023481024</v>
      </c>
      <c r="J17" s="145">
        <f>(($H17*F17)+$E$31)/$E$33</f>
        <v>95.773461404929506</v>
      </c>
      <c r="K17" s="145">
        <f>(($H17*E17)+$E$31)/$E$33</f>
        <v>115.18692937122172</v>
      </c>
      <c r="L17" s="145">
        <f>(($H17*D17)+$E$31)/$E$33</f>
        <v>122.63148524592624</v>
      </c>
      <c r="M17" s="145">
        <f>(($H17*C17)+$E$31)/$E$33</f>
        <v>838.46879146913409</v>
      </c>
      <c r="N17" s="232"/>
    </row>
    <row r="18" spans="2:15">
      <c r="B18" s="60"/>
      <c r="C18" s="127"/>
      <c r="D18" s="60"/>
      <c r="E18" s="127"/>
      <c r="F18" s="60"/>
      <c r="G18" s="60"/>
      <c r="H18" s="453">
        <v>-69.563000000000002</v>
      </c>
      <c r="I18" s="60"/>
      <c r="J18" s="60"/>
      <c r="K18" s="60"/>
      <c r="L18" s="60"/>
      <c r="M18" s="60"/>
      <c r="N18" s="339"/>
    </row>
    <row r="19" spans="2:15">
      <c r="B19" s="65" t="s">
        <v>207</v>
      </c>
      <c r="C19" s="127"/>
      <c r="D19" s="60"/>
      <c r="E19" s="127"/>
      <c r="F19" s="60"/>
      <c r="G19" s="60"/>
      <c r="H19" s="60"/>
      <c r="I19" s="60"/>
      <c r="J19" s="60"/>
      <c r="K19" s="60"/>
      <c r="L19" s="60"/>
      <c r="M19" s="60"/>
      <c r="N19" s="339"/>
    </row>
    <row r="20" spans="2:15">
      <c r="B20" s="63" t="str">
        <f>TEXT('AVAV-DCF'!D201,"0.00%")&amp;" - "&amp;TEXT('AVAV-DCF'!D209,"0.00%")&amp;" WACC, "&amp;TEXT('AVAV-DCF'!E200,"0.00%")&amp;" - "&amp;TEXT('AVAV-DCF'!M200,"0.00%")&amp;" Terminal FCF Growth Rate:"</f>
        <v>8.50% - 12.50% WACC, 1.00% - 3.00% Terminal FCF Growth Rate:</v>
      </c>
      <c r="C20" s="129"/>
      <c r="D20" s="129"/>
      <c r="E20" s="129"/>
      <c r="F20" s="129"/>
      <c r="G20" s="129"/>
      <c r="H20" s="145"/>
      <c r="I20" s="233">
        <f>'AVAV-DCF'!E209</f>
        <v>205.25973882895633</v>
      </c>
      <c r="J20" s="233">
        <f>'AVAV-DCF'!G207</f>
        <v>214.49301112501294</v>
      </c>
      <c r="K20" s="233">
        <f>'AVAV-DCF'!I205</f>
        <v>224.82823605038044</v>
      </c>
      <c r="L20" s="233">
        <f>'AVAV-DCF'!K203</f>
        <v>236.47611303535723</v>
      </c>
      <c r="M20" s="233">
        <f>'AVAV-DCF'!M201</f>
        <v>249.70474190413154</v>
      </c>
      <c r="N20" s="339"/>
    </row>
    <row r="22" spans="2:15">
      <c r="B22" s="234" t="s">
        <v>208</v>
      </c>
      <c r="C22" s="341"/>
      <c r="D22" s="341"/>
      <c r="E22" s="341"/>
      <c r="F22" s="339"/>
      <c r="G22" s="235"/>
      <c r="H22" s="235" t="s">
        <v>209</v>
      </c>
      <c r="I22" s="235"/>
      <c r="J22" s="342"/>
      <c r="K22" s="342"/>
      <c r="L22" s="342"/>
      <c r="M22" s="342"/>
      <c r="N22" s="339"/>
    </row>
    <row r="23" spans="2:15">
      <c r="O23" s="593"/>
    </row>
    <row r="24" spans="2:15">
      <c r="B24" s="65" t="s">
        <v>52</v>
      </c>
      <c r="C24" s="60"/>
      <c r="D24" s="60"/>
      <c r="E24" s="66">
        <f>J27</f>
        <v>2611.7404156536363</v>
      </c>
      <c r="F24" s="339"/>
      <c r="G24" s="339" t="s">
        <v>210</v>
      </c>
      <c r="H24" s="339"/>
      <c r="I24" s="343">
        <f>H12*G12</f>
        <v>2674.5853445248295</v>
      </c>
      <c r="J24" s="343">
        <f>H12*F12</f>
        <v>3329.637593107429</v>
      </c>
      <c r="K24" s="590">
        <f>H12*E12</f>
        <v>6909.2492442859193</v>
      </c>
      <c r="L24" s="591">
        <f>H12*D12</f>
        <v>12921.111468233054</v>
      </c>
      <c r="M24" s="343">
        <f>H12*C12</f>
        <v>21609.000194552529</v>
      </c>
      <c r="N24" s="339"/>
    </row>
    <row r="25" spans="2:15">
      <c r="B25" s="63" t="s">
        <v>54</v>
      </c>
      <c r="C25" s="60"/>
      <c r="D25" s="60"/>
      <c r="E25" s="68">
        <f>'AVAV-DCF'!G106</f>
        <v>588.48</v>
      </c>
      <c r="F25" s="339"/>
      <c r="G25" s="339" t="s">
        <v>210</v>
      </c>
      <c r="H25" s="339"/>
      <c r="I25" s="343">
        <f>H13*G13</f>
        <v>-988.28754905732967</v>
      </c>
      <c r="J25" s="343">
        <f>H13*F13</f>
        <v>3854.3687226820871</v>
      </c>
      <c r="K25" s="343">
        <f>H13*E13</f>
        <v>6549.7146534951798</v>
      </c>
      <c r="L25" s="343">
        <f>H13*D13</f>
        <v>7827.3210177865612</v>
      </c>
      <c r="M25" s="343">
        <f>H13*C13</f>
        <v>36845.953932584271</v>
      </c>
      <c r="N25" s="339"/>
    </row>
    <row r="26" spans="2:15">
      <c r="B26" s="291" t="s">
        <v>55</v>
      </c>
      <c r="C26" s="292"/>
      <c r="D26" s="292"/>
      <c r="E26" s="68">
        <f>'AVAV-DCF'!G107</f>
        <v>80.97</v>
      </c>
      <c r="F26" s="339"/>
      <c r="G26" s="339" t="s">
        <v>210</v>
      </c>
      <c r="H26" s="339"/>
      <c r="I26" s="343">
        <f>H16*G16</f>
        <v>2882.8525337759233</v>
      </c>
      <c r="J26" s="343">
        <f>H16*F16</f>
        <v>3595.4642919205594</v>
      </c>
      <c r="K26" s="343">
        <f>H16*E16</f>
        <v>5007.4727255712423</v>
      </c>
      <c r="L26" s="343">
        <f>H16*D16</f>
        <v>8330.5821287860963</v>
      </c>
      <c r="M26" s="343">
        <f>H16*C16</f>
        <v>44251.1</v>
      </c>
      <c r="N26" s="339"/>
    </row>
    <row r="27" spans="2:15">
      <c r="B27" s="291" t="s">
        <v>56</v>
      </c>
      <c r="C27" s="292"/>
      <c r="D27" s="292"/>
      <c r="E27" s="68">
        <f>'AVAV-DCF'!G108</f>
        <v>234.49100000000001</v>
      </c>
      <c r="F27" s="339"/>
      <c r="G27" s="339" t="s">
        <v>210</v>
      </c>
      <c r="H27" s="339"/>
      <c r="I27" s="343">
        <f>H17*G17</f>
        <v>-2824.1163149768399</v>
      </c>
      <c r="J27" s="592">
        <f>H17*F17</f>
        <v>2611.7404156536363</v>
      </c>
      <c r="K27" s="343">
        <f>H17*E17</f>
        <v>3658.172</v>
      </c>
      <c r="L27" s="343">
        <f>H17*D17</f>
        <v>4059.4510714285716</v>
      </c>
      <c r="M27" s="343">
        <f>H17*C17</f>
        <v>42644.765544144575</v>
      </c>
      <c r="N27" s="339"/>
    </row>
    <row r="28" spans="2:15">
      <c r="B28" s="291" t="s">
        <v>57</v>
      </c>
      <c r="C28" s="292"/>
      <c r="D28" s="292"/>
      <c r="E28" s="68">
        <f>'AVAV-DCF'!G109</f>
        <v>-73.188000000000002</v>
      </c>
      <c r="F28" s="339"/>
      <c r="G28" s="339"/>
      <c r="H28" s="339"/>
      <c r="I28" s="344"/>
      <c r="J28" s="344"/>
      <c r="K28" s="344"/>
      <c r="L28" s="344"/>
      <c r="M28" s="344"/>
      <c r="N28" s="339"/>
    </row>
    <row r="29" spans="2:15">
      <c r="B29" s="291" t="s">
        <v>211</v>
      </c>
      <c r="C29" s="292"/>
      <c r="D29" s="292"/>
      <c r="E29" s="68">
        <f>'AVAV-DCF'!G110</f>
        <v>840.76400000000001</v>
      </c>
      <c r="F29" s="339"/>
      <c r="G29" s="339"/>
      <c r="H29" s="339"/>
      <c r="I29" s="344"/>
      <c r="J29" s="344"/>
      <c r="K29" s="344"/>
      <c r="L29" s="344"/>
      <c r="M29" s="344"/>
      <c r="N29" s="339"/>
    </row>
    <row r="30" spans="2:15">
      <c r="B30" s="291" t="s">
        <v>212</v>
      </c>
      <c r="C30" s="292"/>
      <c r="D30" s="292"/>
      <c r="E30" s="68">
        <f>'AVAV-DCF'!G111</f>
        <v>51.055</v>
      </c>
      <c r="F30" s="339"/>
      <c r="G30" s="586"/>
      <c r="H30" s="586"/>
      <c r="I30" s="586"/>
      <c r="J30" s="586"/>
      <c r="K30" s="586"/>
      <c r="L30" s="586"/>
      <c r="M30" s="586"/>
      <c r="N30" s="339"/>
    </row>
    <row r="31" spans="2:15">
      <c r="B31" s="69" t="s">
        <v>60</v>
      </c>
      <c r="C31" s="70"/>
      <c r="D31" s="70"/>
      <c r="E31" s="54">
        <f>+SUM(E24:E28)-SUM(E29:E30)</f>
        <v>2550.6744156536361</v>
      </c>
      <c r="F31" s="339"/>
      <c r="G31" s="586"/>
      <c r="H31" s="586"/>
      <c r="I31" s="587"/>
      <c r="J31" s="587"/>
      <c r="K31" s="587"/>
      <c r="L31" s="587"/>
      <c r="M31" s="587"/>
      <c r="N31" s="339"/>
    </row>
    <row r="32" spans="2:15">
      <c r="B32" s="339"/>
      <c r="C32" s="339"/>
      <c r="D32" s="339"/>
      <c r="E32" s="339"/>
      <c r="F32" s="339"/>
      <c r="G32" s="586"/>
      <c r="H32" s="588"/>
      <c r="I32" s="589"/>
      <c r="J32" s="589"/>
      <c r="K32" s="589"/>
      <c r="L32" s="589"/>
      <c r="M32" s="589"/>
      <c r="N32" s="339"/>
    </row>
    <row r="33" spans="2:13">
      <c r="B33" s="60" t="s">
        <v>61</v>
      </c>
      <c r="C33" s="60"/>
      <c r="D33" s="60"/>
      <c r="E33" s="454">
        <f>'Share Dilution Calc'!H27</f>
        <v>53.902352025062768</v>
      </c>
      <c r="F33" s="339"/>
      <c r="G33" s="586"/>
      <c r="H33" s="586"/>
      <c r="I33" s="586"/>
      <c r="J33" s="586"/>
      <c r="K33" s="586"/>
      <c r="L33" s="586"/>
      <c r="M33" s="586"/>
    </row>
    <row r="34" spans="2:13">
      <c r="B34" s="60"/>
      <c r="C34" s="60"/>
      <c r="D34" s="60"/>
      <c r="E34" s="60"/>
      <c r="F34" s="339"/>
      <c r="G34" s="586"/>
      <c r="H34" s="586"/>
      <c r="I34" s="587"/>
      <c r="J34" s="587"/>
      <c r="K34" s="587"/>
      <c r="L34" s="587"/>
      <c r="M34" s="587"/>
    </row>
    <row r="35" spans="2:13">
      <c r="B35" s="73" t="s">
        <v>213</v>
      </c>
      <c r="C35" s="74"/>
      <c r="D35" s="74"/>
      <c r="E35" s="75">
        <f>+E31/E33</f>
        <v>47.320280466938783</v>
      </c>
      <c r="F35" s="339"/>
      <c r="G35" s="586"/>
      <c r="H35" s="588"/>
      <c r="I35" s="589"/>
      <c r="J35" s="589"/>
      <c r="K35" s="589"/>
      <c r="L35" s="589"/>
      <c r="M35" s="589"/>
    </row>
    <row r="36" spans="2:13">
      <c r="B36" s="76" t="s">
        <v>63</v>
      </c>
      <c r="C36" s="77"/>
      <c r="D36" s="77"/>
      <c r="E36" s="78">
        <f>E35/Share_Price - 1</f>
        <v>-0.87207623349750274</v>
      </c>
      <c r="F36" s="339"/>
      <c r="G36" s="586"/>
      <c r="H36" s="586"/>
      <c r="I36" s="586"/>
      <c r="J36" s="586"/>
      <c r="K36" s="586"/>
      <c r="L36" s="586"/>
      <c r="M36" s="586"/>
    </row>
    <row r="37" spans="2:13">
      <c r="B37" s="6"/>
      <c r="C37" s="292"/>
      <c r="D37" s="292"/>
      <c r="E37" s="292"/>
      <c r="F37" s="339"/>
      <c r="G37" s="586"/>
      <c r="H37" s="586"/>
      <c r="I37" s="587"/>
      <c r="J37" s="587"/>
      <c r="K37" s="587"/>
      <c r="L37" s="587"/>
      <c r="M37" s="587"/>
    </row>
    <row r="38" spans="2:13">
      <c r="B38" s="329"/>
      <c r="C38" s="329"/>
      <c r="D38" s="79" t="s">
        <v>64</v>
      </c>
      <c r="E38" s="329"/>
      <c r="F38" s="339"/>
      <c r="G38" s="586"/>
      <c r="H38" s="588"/>
      <c r="I38" s="589"/>
      <c r="J38" s="589"/>
      <c r="K38" s="589"/>
      <c r="L38" s="589"/>
      <c r="M38" s="589"/>
    </row>
    <row r="39" spans="2:13">
      <c r="B39" s="28" t="s">
        <v>65</v>
      </c>
      <c r="C39" s="80" t="s">
        <v>66</v>
      </c>
      <c r="D39" s="80" t="s">
        <v>67</v>
      </c>
      <c r="E39" s="80" t="s">
        <v>68</v>
      </c>
      <c r="F39" s="339"/>
      <c r="G39" s="586"/>
      <c r="H39" s="586"/>
      <c r="I39" s="586"/>
      <c r="J39" s="586"/>
      <c r="K39" s="586"/>
      <c r="L39" s="586"/>
      <c r="M39" s="586"/>
    </row>
    <row r="40" spans="2:13">
      <c r="B40" s="63" t="s">
        <v>69</v>
      </c>
      <c r="C40" s="81">
        <f>'AVAV-DCF'!E121</f>
        <v>5.2758260000000003</v>
      </c>
      <c r="D40" s="81">
        <f>'AVAV-DCF'!F121</f>
        <v>280</v>
      </c>
      <c r="E40" s="81">
        <f>'AVAV-DCF'!G121</f>
        <v>1.2823376379659917</v>
      </c>
      <c r="F40" s="339"/>
      <c r="G40" s="586"/>
      <c r="H40" s="586"/>
      <c r="I40" s="587"/>
      <c r="J40" s="587"/>
      <c r="K40" s="587"/>
      <c r="L40" s="587"/>
      <c r="M40" s="587"/>
    </row>
    <row r="41" spans="2:13">
      <c r="B41" s="63" t="s">
        <v>214</v>
      </c>
      <c r="C41" s="82">
        <f>'AVAV-DCF'!E122</f>
        <v>0.74750000000000005</v>
      </c>
      <c r="D41" s="82">
        <f>'AVAV-DCF'!F122</f>
        <v>322.39999999999998</v>
      </c>
      <c r="E41" s="82">
        <f>'AVAV-DCF'!G122</f>
        <v>2.318548387096774</v>
      </c>
      <c r="F41" s="339"/>
      <c r="G41" s="586"/>
      <c r="H41" s="588"/>
      <c r="I41" s="589"/>
      <c r="J41" s="589"/>
      <c r="K41" s="589"/>
      <c r="L41" s="589"/>
      <c r="M41" s="589"/>
    </row>
    <row r="42" spans="2:13">
      <c r="B42" s="63" t="s">
        <v>71</v>
      </c>
      <c r="C42" s="82">
        <f>'AVAV-DCF'!E123</f>
        <v>0.37415999999999999</v>
      </c>
      <c r="D42" s="82">
        <f>'AVAV-DCF'!F123</f>
        <v>0</v>
      </c>
      <c r="E42" s="82">
        <f>'AVAV-DCF'!G123</f>
        <v>0.37415999999999999</v>
      </c>
      <c r="F42" s="339"/>
      <c r="G42" s="586"/>
      <c r="H42" s="586"/>
      <c r="I42" s="586"/>
      <c r="J42" s="586"/>
      <c r="K42" s="586"/>
      <c r="L42" s="586"/>
      <c r="M42" s="586"/>
    </row>
    <row r="43" spans="2:13">
      <c r="B43" s="84" t="s">
        <v>72</v>
      </c>
      <c r="C43" s="85"/>
      <c r="D43" s="86"/>
      <c r="E43" s="85">
        <f>SUM(E40:E42)</f>
        <v>3.9750460250627655</v>
      </c>
      <c r="F43" s="339"/>
      <c r="G43" s="586"/>
      <c r="H43" s="586"/>
      <c r="I43" s="587"/>
      <c r="J43" s="587"/>
      <c r="K43" s="587"/>
      <c r="L43" s="587"/>
      <c r="M43" s="587"/>
    </row>
    <row r="44" spans="2:13">
      <c r="B44" s="339"/>
      <c r="C44" s="339"/>
      <c r="D44" s="339"/>
      <c r="E44" s="339"/>
      <c r="F44" s="339"/>
      <c r="G44" s="586"/>
      <c r="H44" s="588"/>
      <c r="I44" s="589"/>
      <c r="J44" s="589"/>
      <c r="K44" s="589"/>
      <c r="L44" s="589"/>
      <c r="M44" s="589"/>
    </row>
    <row r="45" spans="2:13">
      <c r="B45" s="339"/>
      <c r="C45" s="339"/>
      <c r="D45" s="339"/>
      <c r="E45" s="339"/>
      <c r="F45" s="339"/>
      <c r="G45" s="586"/>
      <c r="H45" s="586"/>
      <c r="I45" s="586"/>
      <c r="J45" s="586"/>
      <c r="K45" s="586"/>
      <c r="L45" s="586"/>
      <c r="M45" s="586"/>
    </row>
    <row r="47" spans="2:13"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M47" s="339"/>
    </row>
    <row r="48" spans="2:13"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39"/>
      <c r="M48" s="339"/>
    </row>
    <row r="49" spans="8:13">
      <c r="H49" s="339"/>
      <c r="I49" s="345"/>
      <c r="J49" s="345"/>
      <c r="K49" s="345"/>
      <c r="L49" s="345"/>
      <c r="M49" s="345"/>
    </row>
  </sheetData>
  <pageMargins left="0.7" right="0.7" top="0.75" bottom="0.75" header="0.3" footer="0.3"/>
  <pageSetup scale="5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32:R40"/>
  <sheetViews>
    <sheetView showGridLines="0" tabSelected="1" topLeftCell="A2" zoomScale="66" zoomScaleNormal="100" workbookViewId="0">
      <selection activeCell="W29" sqref="W29"/>
    </sheetView>
  </sheetViews>
  <sheetFormatPr defaultColWidth="8.88671875" defaultRowHeight="15.6"/>
  <cols>
    <col min="1" max="1" width="2.6640625" style="237" customWidth="1"/>
    <col min="2" max="23" width="10.6640625" style="237" customWidth="1"/>
    <col min="24" max="16384" width="8.88671875" style="237"/>
  </cols>
  <sheetData>
    <row r="32" spans="9:18">
      <c r="I32" s="336" t="s">
        <v>184</v>
      </c>
      <c r="J32" s="336" t="s">
        <v>185</v>
      </c>
      <c r="K32" s="336" t="s">
        <v>186</v>
      </c>
      <c r="L32" s="336" t="s">
        <v>187</v>
      </c>
      <c r="M32" s="336" t="s">
        <v>188</v>
      </c>
      <c r="N32" s="337" t="s">
        <v>189</v>
      </c>
      <c r="O32" s="337" t="s">
        <v>190</v>
      </c>
      <c r="P32" s="337" t="s">
        <v>191</v>
      </c>
      <c r="Q32" s="337" t="s">
        <v>192</v>
      </c>
      <c r="R32" s="337" t="s">
        <v>193</v>
      </c>
    </row>
    <row r="33" spans="2:18">
      <c r="B33" s="336"/>
      <c r="C33" s="336"/>
      <c r="D33" s="336"/>
      <c r="E33" s="336"/>
      <c r="F33" s="336"/>
      <c r="G33" s="336"/>
      <c r="H33" s="336"/>
      <c r="I33" s="238"/>
      <c r="J33" s="238"/>
      <c r="K33" s="238"/>
      <c r="L33" s="238"/>
      <c r="M33" s="238"/>
      <c r="N33" s="238"/>
      <c r="O33" s="238"/>
      <c r="P33" s="238"/>
      <c r="Q33" s="238"/>
      <c r="R33" s="238"/>
    </row>
    <row r="34" spans="2:18">
      <c r="B34" s="239" t="str">
        <f>+ValSum!B20</f>
        <v>8.50% - 12.50% WACC, 1.00% - 3.00% Terminal FCF Growth Rate:</v>
      </c>
      <c r="C34" s="336"/>
      <c r="D34" s="336"/>
      <c r="E34" s="336"/>
      <c r="F34" s="336"/>
      <c r="G34" s="336"/>
      <c r="H34" s="336"/>
      <c r="I34" s="238">
        <f>ValSum!I20</f>
        <v>205.25973882895633</v>
      </c>
      <c r="J34" s="238">
        <f>ValSum!J20</f>
        <v>214.49301112501294</v>
      </c>
      <c r="K34" s="238">
        <f>ValSum!K20</f>
        <v>224.82823605038044</v>
      </c>
      <c r="L34" s="238">
        <f>ValSum!L20</f>
        <v>236.47611303535723</v>
      </c>
      <c r="M34" s="238">
        <f>ValSum!M20</f>
        <v>249.70474190413154</v>
      </c>
      <c r="N34" s="338">
        <f>I34</f>
        <v>205.25973882895633</v>
      </c>
      <c r="O34" s="338">
        <f>J34-I34</f>
        <v>9.2332722960566116</v>
      </c>
      <c r="P34" s="338">
        <f t="shared" ref="P34:R34" si="0">K34-J34</f>
        <v>10.335224925367498</v>
      </c>
      <c r="Q34" s="338">
        <f t="shared" si="0"/>
        <v>11.64787698497679</v>
      </c>
      <c r="R34" s="338">
        <f t="shared" si="0"/>
        <v>13.228628868774308</v>
      </c>
    </row>
    <row r="36" spans="2:18">
      <c r="B36" s="239" t="str">
        <f>+ValSum!B17</f>
        <v>LTM EV / EBITDA:</v>
      </c>
      <c r="C36" s="336"/>
      <c r="D36" s="336"/>
      <c r="E36" s="336"/>
      <c r="F36" s="336"/>
      <c r="G36" s="336"/>
      <c r="H36" s="336"/>
      <c r="I36" s="240">
        <f>ValSum!I17</f>
        <v>-5.0729122023481024</v>
      </c>
      <c r="J36" s="240">
        <f>ValSum!J17</f>
        <v>95.773461404929506</v>
      </c>
      <c r="K36" s="240">
        <f>ValSum!K17</f>
        <v>115.18692937122172</v>
      </c>
      <c r="L36" s="240">
        <f>ValSum!L17</f>
        <v>122.63148524592624</v>
      </c>
      <c r="M36" s="240">
        <f>ValSum!M17</f>
        <v>838.46879146913409</v>
      </c>
      <c r="N36" s="338">
        <f t="shared" ref="N36:N37" si="1">I36</f>
        <v>-5.0729122023481024</v>
      </c>
      <c r="O36" s="338">
        <f t="shared" ref="O36:O37" si="2">J36-I36</f>
        <v>100.84637360727761</v>
      </c>
      <c r="P36" s="338">
        <f t="shared" ref="P36:P37" si="3">K36-J36</f>
        <v>19.413467966292217</v>
      </c>
      <c r="Q36" s="338">
        <f t="shared" ref="Q36:Q37" si="4">L36-K36</f>
        <v>7.4445558747045197</v>
      </c>
      <c r="R36" s="338">
        <f t="shared" ref="R36:R37" si="5">M36-L36</f>
        <v>715.83730622320786</v>
      </c>
    </row>
    <row r="37" spans="2:18">
      <c r="B37" s="239" t="str">
        <f>+ValSum!B16</f>
        <v>LTM EV / Revenue:</v>
      </c>
      <c r="C37" s="336"/>
      <c r="D37" s="336"/>
      <c r="E37" s="336"/>
      <c r="F37" s="336"/>
      <c r="G37" s="336"/>
      <c r="H37" s="336"/>
      <c r="I37" s="240">
        <f>ValSum!I16</f>
        <v>100.80315135234086</v>
      </c>
      <c r="J37" s="240">
        <f>ValSum!J16</f>
        <v>114.02357182329351</v>
      </c>
      <c r="K37" s="240">
        <f>ValSum!K16</f>
        <v>140.21924567801042</v>
      </c>
      <c r="L37" s="240">
        <f>ValSum!L16</f>
        <v>201.86979112489038</v>
      </c>
      <c r="M37" s="240">
        <f>ValSum!M16</f>
        <v>868.26961454098318</v>
      </c>
      <c r="N37" s="338">
        <f t="shared" si="1"/>
        <v>100.80315135234086</v>
      </c>
      <c r="O37" s="338">
        <f t="shared" si="2"/>
        <v>13.220420470952646</v>
      </c>
      <c r="P37" s="338">
        <f t="shared" si="3"/>
        <v>26.195673854716915</v>
      </c>
      <c r="Q37" s="338">
        <f t="shared" si="4"/>
        <v>61.65054544687996</v>
      </c>
      <c r="R37" s="338">
        <f t="shared" si="5"/>
        <v>666.39982341609277</v>
      </c>
    </row>
    <row r="38" spans="2:18">
      <c r="B38" s="336"/>
      <c r="C38" s="336"/>
      <c r="D38" s="336"/>
      <c r="E38" s="336"/>
      <c r="F38" s="336"/>
      <c r="G38" s="336"/>
      <c r="H38" s="336"/>
      <c r="I38" s="240"/>
      <c r="J38" s="240"/>
      <c r="K38" s="240"/>
      <c r="L38" s="240"/>
      <c r="M38" s="240"/>
      <c r="N38" s="240"/>
      <c r="O38" s="240"/>
      <c r="P38" s="240"/>
      <c r="Q38" s="240"/>
      <c r="R38" s="240"/>
    </row>
    <row r="39" spans="2:18">
      <c r="B39" s="239" t="str">
        <f>+ValSum!B13</f>
        <v>LTM EV / EBITDA:</v>
      </c>
      <c r="C39" s="336"/>
      <c r="D39" s="336"/>
      <c r="E39" s="336"/>
      <c r="F39" s="336"/>
      <c r="G39" s="336"/>
      <c r="H39" s="336"/>
      <c r="I39" s="240">
        <f>ValSum!I13</f>
        <v>0</v>
      </c>
      <c r="J39" s="240">
        <f>ValSum!J13</f>
        <v>118.82678394734231</v>
      </c>
      <c r="K39" s="240">
        <f>ValSum!K13</f>
        <v>168.83101993244085</v>
      </c>
      <c r="L39" s="240">
        <f>ValSum!L13</f>
        <v>192.53325770672828</v>
      </c>
      <c r="M39" s="240">
        <f>ValSum!M13</f>
        <v>730.88885490413873</v>
      </c>
      <c r="N39" s="338">
        <f t="shared" ref="N39:N40" si="6">I39</f>
        <v>0</v>
      </c>
      <c r="O39" s="338">
        <f t="shared" ref="O39:O40" si="7">J39-I39</f>
        <v>118.82678394734231</v>
      </c>
      <c r="P39" s="338">
        <f t="shared" ref="P39:P40" si="8">K39-J39</f>
        <v>50.004235985098546</v>
      </c>
      <c r="Q39" s="338">
        <f t="shared" ref="Q39:Q40" si="9">L39-K39</f>
        <v>23.702237774287426</v>
      </c>
      <c r="R39" s="338">
        <f t="shared" ref="R39:R40" si="10">M39-L39</f>
        <v>538.35559719741048</v>
      </c>
    </row>
    <row r="40" spans="2:18">
      <c r="B40" s="239" t="str">
        <f>+ValSum!B12</f>
        <v>LTM EV / Revenue:</v>
      </c>
      <c r="C40" s="336"/>
      <c r="D40" s="336"/>
      <c r="E40" s="336"/>
      <c r="F40" s="336"/>
      <c r="G40" s="336"/>
      <c r="H40" s="336"/>
      <c r="I40" s="240">
        <f>ValSum!I12</f>
        <v>96.939364682062418</v>
      </c>
      <c r="J40" s="240">
        <f>ValSum!J12</f>
        <v>109.09193732449596</v>
      </c>
      <c r="K40" s="240">
        <f>ValSum!K12</f>
        <v>175.50112944127207</v>
      </c>
      <c r="L40" s="240">
        <f>ValSum!L12</f>
        <v>287.03359505894718</v>
      </c>
      <c r="M40" s="240">
        <f>ValSum!M12</f>
        <v>448.21188134745466</v>
      </c>
      <c r="N40" s="338">
        <f t="shared" si="6"/>
        <v>96.939364682062418</v>
      </c>
      <c r="O40" s="338">
        <f t="shared" si="7"/>
        <v>12.15257264243354</v>
      </c>
      <c r="P40" s="338">
        <f t="shared" si="8"/>
        <v>66.409192116776111</v>
      </c>
      <c r="Q40" s="338">
        <f t="shared" si="9"/>
        <v>111.53246561767511</v>
      </c>
      <c r="R40" s="338">
        <f t="shared" si="10"/>
        <v>161.17828628850748</v>
      </c>
    </row>
  </sheetData>
  <sortState xmlns:xlrd2="http://schemas.microsoft.com/office/spreadsheetml/2017/richdata2" ref="A34:AF40">
    <sortCondition descending="1" ref="A34:A40"/>
  </sortState>
  <pageMargins left="0.7" right="0.7" top="0.75" bottom="0.75" header="0.3" footer="0.3"/>
  <pageSetup scale="5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B2:M10"/>
  <sheetViews>
    <sheetView showGridLines="0" zoomScaleNormal="100" workbookViewId="0">
      <selection activeCell="E18" sqref="E18"/>
    </sheetView>
  </sheetViews>
  <sheetFormatPr defaultColWidth="8.88671875" defaultRowHeight="15.6"/>
  <cols>
    <col min="1" max="2" width="2.6640625" style="174" customWidth="1"/>
    <col min="3" max="13" width="12.6640625" style="174" customWidth="1"/>
    <col min="14" max="14" width="2.6640625" style="174" customWidth="1"/>
    <col min="15" max="16384" width="8.88671875" style="174"/>
  </cols>
  <sheetData>
    <row r="2" spans="2:13">
      <c r="B2" s="173" t="s">
        <v>285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</row>
    <row r="3" spans="2:13"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</row>
    <row r="4" spans="2:13">
      <c r="B4" s="175" t="s">
        <v>286</v>
      </c>
      <c r="C4" s="346"/>
      <c r="D4" s="346"/>
      <c r="E4" s="368"/>
      <c r="F4" s="346"/>
      <c r="G4" s="346"/>
      <c r="H4" s="346"/>
      <c r="I4" s="346"/>
      <c r="J4" s="346"/>
      <c r="K4" s="346"/>
      <c r="L4" s="346"/>
      <c r="M4" s="346"/>
    </row>
    <row r="6" spans="2:13">
      <c r="B6" s="175" t="s">
        <v>287</v>
      </c>
      <c r="C6" s="346"/>
      <c r="D6" s="346"/>
      <c r="E6" s="368" t="s">
        <v>274</v>
      </c>
      <c r="F6" s="346"/>
      <c r="G6" s="346"/>
      <c r="H6" s="346"/>
      <c r="I6" s="346"/>
      <c r="J6" s="346"/>
      <c r="K6" s="346"/>
      <c r="L6" s="346"/>
      <c r="M6" s="346"/>
    </row>
    <row r="7" spans="2:13">
      <c r="B7" s="175" t="s">
        <v>288</v>
      </c>
      <c r="C7" s="346"/>
      <c r="D7" s="346"/>
      <c r="E7" s="176">
        <f>EOMONTH(Hist_Year,12)</f>
        <v>46142</v>
      </c>
      <c r="F7" s="346"/>
      <c r="G7" s="346"/>
      <c r="H7" s="346"/>
      <c r="I7" s="346"/>
      <c r="J7" s="346"/>
      <c r="K7" s="346"/>
      <c r="L7" s="346"/>
      <c r="M7" s="346"/>
    </row>
    <row r="8" spans="2:13">
      <c r="B8" s="175" t="s">
        <v>289</v>
      </c>
      <c r="C8" s="346"/>
      <c r="D8" s="346"/>
      <c r="E8" s="176">
        <f>EOMONTH(Forward_Year_1,12)</f>
        <v>46507</v>
      </c>
      <c r="F8" s="346"/>
      <c r="G8" s="346"/>
      <c r="H8" s="346"/>
      <c r="I8" s="346"/>
      <c r="J8" s="346"/>
      <c r="K8" s="346"/>
      <c r="L8" s="346"/>
      <c r="M8" s="346"/>
    </row>
    <row r="9" spans="2:13">
      <c r="B9" s="175" t="s">
        <v>290</v>
      </c>
      <c r="C9" s="346"/>
      <c r="D9" s="346"/>
      <c r="E9" s="176">
        <f>EOMONTH(Forward_Year_2,12)</f>
        <v>46873</v>
      </c>
      <c r="F9" s="346"/>
      <c r="G9" s="346"/>
      <c r="H9" s="346"/>
      <c r="I9" s="346"/>
      <c r="J9" s="346"/>
      <c r="K9" s="346"/>
      <c r="L9" s="346"/>
      <c r="M9" s="346"/>
    </row>
    <row r="10" spans="2:13">
      <c r="B10" s="175"/>
      <c r="C10" s="346"/>
      <c r="D10" s="346"/>
      <c r="E10" s="177"/>
      <c r="F10" s="346"/>
      <c r="G10" s="346"/>
      <c r="H10" s="346"/>
      <c r="I10" s="346"/>
      <c r="J10" s="346"/>
      <c r="K10" s="346"/>
      <c r="L10" s="178"/>
      <c r="M10" s="346"/>
    </row>
  </sheetData>
  <dataValidations disablePrompts="1" count="1">
    <dataValidation type="list" showInputMessage="1" showErrorMessage="1" sqref="E65511 E131047 E196583 E262119 E327655 E393191 E458727 E524263 E589799 E655335 E720871 E786407 E851943 E917479 E983015" xr:uid="{00000000-0002-0000-0800-000000000000}">
      <formula1>#REF!</formula1>
    </dataValidation>
  </dataValidations>
  <pageMargins left="0.7" right="0.7" top="0.75" bottom="0.75" header="0.3" footer="0.3"/>
  <pageSetup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</vt:i4>
      </vt:variant>
    </vt:vector>
  </HeadingPairs>
  <TitlesOfParts>
    <vt:vector size="48" baseType="lpstr">
      <vt:lpstr>AVAV-DCF</vt:lpstr>
      <vt:lpstr>A_D</vt:lpstr>
      <vt:lpstr>H1-Results</vt:lpstr>
      <vt:lpstr>D&amp;A Schedule</vt:lpstr>
      <vt:lpstr>Share Dilution Calc</vt:lpstr>
      <vt:lpstr>WACC</vt:lpstr>
      <vt:lpstr>Public Comps</vt:lpstr>
      <vt:lpstr>MA-Comps</vt:lpstr>
      <vt:lpstr>Synergy Calc</vt:lpstr>
      <vt:lpstr>ValSum</vt:lpstr>
      <vt:lpstr>ValGraph</vt:lpstr>
      <vt:lpstr>Inputs</vt:lpstr>
      <vt:lpstr>Acquirer_Name</vt:lpstr>
      <vt:lpstr>Basic_Shares</vt:lpstr>
      <vt:lpstr>Beta</vt:lpstr>
      <vt:lpstr>Company_Name</vt:lpstr>
      <vt:lpstr>Comps_Range</vt:lpstr>
      <vt:lpstr>Cost_of_Debt</vt:lpstr>
      <vt:lpstr>Cost_of_Preferred</vt:lpstr>
      <vt:lpstr>Equity_Risk_Premium</vt:lpstr>
      <vt:lpstr>Forward_Year_1</vt:lpstr>
      <vt:lpstr>Forward_Year_2</vt:lpstr>
      <vt:lpstr>Forward_Year_3</vt:lpstr>
      <vt:lpstr>Inputs!FYear_1_Name</vt:lpstr>
      <vt:lpstr>Inputs!FYear_2_Name</vt:lpstr>
      <vt:lpstr>Inputs!FYear_3_Name</vt:lpstr>
      <vt:lpstr>Hist_Year</vt:lpstr>
      <vt:lpstr>LTM</vt:lpstr>
      <vt:lpstr>LTM_Name</vt:lpstr>
      <vt:lpstr>Next_Year</vt:lpstr>
      <vt:lpstr>'AVAV-DCF'!Print_Area</vt:lpstr>
      <vt:lpstr>Inputs!Print_Area</vt:lpstr>
      <vt:lpstr>'MA-Comps'!Print_Area</vt:lpstr>
      <vt:lpstr>'Public Comps'!Print_Area</vt:lpstr>
      <vt:lpstr>'Share Dilution Calc'!Print_Area</vt:lpstr>
      <vt:lpstr>ValGraph!Print_Area</vt:lpstr>
      <vt:lpstr>ValSum!Print_Area</vt:lpstr>
      <vt:lpstr>WACC!Print_Area</vt:lpstr>
      <vt:lpstr>Risk_Free_Rate</vt:lpstr>
      <vt:lpstr>Scenario</vt:lpstr>
      <vt:lpstr>Share_Price</vt:lpstr>
      <vt:lpstr>Tax_Rate</vt:lpstr>
      <vt:lpstr>Terminal_Growth_Rate</vt:lpstr>
      <vt:lpstr>Terminal_Multiple</vt:lpstr>
      <vt:lpstr>Ticker</vt:lpstr>
      <vt:lpstr>Units</vt:lpstr>
      <vt:lpstr>Valuation_Date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BIWS</dc:creator>
  <cp:keywords/>
  <dc:description/>
  <cp:lastModifiedBy>Rwitoban Das</cp:lastModifiedBy>
  <cp:revision/>
  <dcterms:created xsi:type="dcterms:W3CDTF">2014-03-07T00:48:59Z</dcterms:created>
  <dcterms:modified xsi:type="dcterms:W3CDTF">2025-12-30T11:20:33Z</dcterms:modified>
  <cp:category/>
  <cp:contentStatus/>
</cp:coreProperties>
</file>